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asystreetcapitol-my.sharepoint.com/personal/rileyb_easystreetcap_com/Documents/Desktop/3. Commission &amp; Expense Reports/1. Commission Reports/"/>
    </mc:Choice>
  </mc:AlternateContent>
  <xr:revisionPtr revIDLastSave="430" documentId="8_{75FD0293-CD38-4267-A840-884FF25D7EEC}" xr6:coauthVersionLast="47" xr6:coauthVersionMax="47" xr10:uidLastSave="{3D802EC8-E9C4-47FD-BFC3-55336B554007}"/>
  <bookViews>
    <workbookView xWindow="-15060" yWindow="-16395" windowWidth="29040" windowHeight="15720" xr2:uid="{00000000-000D-0000-FFFF-FFFF00000000}"/>
  </bookViews>
  <sheets>
    <sheet name="Commission Request" sheetId="1" r:id="rId1"/>
    <sheet name="Data" sheetId="2" state="hidden" r:id="rId2"/>
  </sheets>
  <definedNames>
    <definedName name="_xlnm.Print_Area" localSheetId="0">'Commission Request'!$A$1:$U$27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4" i="1" l="1"/>
  <c r="S24" i="1"/>
  <c r="P24" i="1"/>
  <c r="M24" i="1"/>
  <c r="N24" i="1"/>
  <c r="O24" i="1"/>
  <c r="L24" i="1"/>
  <c r="J24" i="1"/>
  <c r="I24" i="1"/>
  <c r="H24" i="1"/>
  <c r="G24" i="1"/>
  <c r="F24" i="1"/>
  <c r="E24" i="1"/>
  <c r="D24" i="1"/>
  <c r="S12" i="1" l="1"/>
  <c r="L12" i="1"/>
  <c r="M12" i="1"/>
  <c r="N12" i="1"/>
  <c r="O12" i="1"/>
  <c r="P12" i="1" a="1"/>
  <c r="P12" i="1" s="1"/>
  <c r="T12" i="1" l="1" a="1"/>
  <c r="T12" i="1" s="1"/>
  <c r="S19" i="1"/>
  <c r="S14" i="1"/>
  <c r="S15" i="1"/>
  <c r="S16" i="1"/>
  <c r="S17" i="1"/>
  <c r="S18" i="1"/>
  <c r="S20" i="1"/>
  <c r="S13" i="1"/>
  <c r="S11" i="1"/>
  <c r="S21" i="1"/>
  <c r="S22" i="1"/>
  <c r="S23" i="1"/>
  <c r="J19" i="1"/>
  <c r="P19" i="1" s="1" a="1"/>
  <c r="P19" i="1" s="1"/>
  <c r="J14" i="1"/>
  <c r="P14" i="1" s="1" a="1"/>
  <c r="P14" i="1" s="1"/>
  <c r="J15" i="1"/>
  <c r="P15" i="1" s="1" a="1"/>
  <c r="P15" i="1" s="1"/>
  <c r="J16" i="1"/>
  <c r="P16" i="1" s="1" a="1"/>
  <c r="P16" i="1" s="1"/>
  <c r="J17" i="1"/>
  <c r="P17" i="1" s="1" a="1"/>
  <c r="P17" i="1" s="1"/>
  <c r="J18" i="1"/>
  <c r="P18" i="1" s="1" a="1"/>
  <c r="P18" i="1" s="1"/>
  <c r="J20" i="1"/>
  <c r="P20" i="1" s="1" a="1"/>
  <c r="P20" i="1" s="1"/>
  <c r="J13" i="1"/>
  <c r="P13" i="1" s="1" a="1"/>
  <c r="P13" i="1" s="1"/>
  <c r="J11" i="1"/>
  <c r="P11" i="1" s="1" a="1"/>
  <c r="P11" i="1" s="1"/>
  <c r="J21" i="1"/>
  <c r="P21" i="1" s="1" a="1"/>
  <c r="P21" i="1" s="1"/>
  <c r="J22" i="1"/>
  <c r="P22" i="1" s="1" a="1"/>
  <c r="P22" i="1" s="1"/>
  <c r="J23" i="1"/>
  <c r="P23" i="1" s="1" a="1"/>
  <c r="P23" i="1" s="1"/>
  <c r="M19" i="1" l="1"/>
  <c r="M14" i="1"/>
  <c r="M15" i="1"/>
  <c r="M16" i="1"/>
  <c r="M17" i="1"/>
  <c r="M18" i="1"/>
  <c r="M20" i="1"/>
  <c r="M13" i="1"/>
  <c r="M11" i="1"/>
  <c r="M21" i="1"/>
  <c r="M22" i="1"/>
  <c r="M23" i="1"/>
  <c r="L19" i="1"/>
  <c r="T19" i="1" s="1" a="1"/>
  <c r="T19" i="1" s="1"/>
  <c r="N19" i="1"/>
  <c r="O19" i="1"/>
  <c r="L14" i="1"/>
  <c r="N14" i="1"/>
  <c r="O14" i="1"/>
  <c r="L15" i="1"/>
  <c r="N15" i="1"/>
  <c r="O15" i="1"/>
  <c r="L16" i="1"/>
  <c r="N16" i="1"/>
  <c r="O16" i="1"/>
  <c r="L17" i="1"/>
  <c r="N17" i="1"/>
  <c r="O17" i="1"/>
  <c r="L18" i="1"/>
  <c r="N18" i="1"/>
  <c r="O18" i="1"/>
  <c r="L20" i="1"/>
  <c r="N20" i="1"/>
  <c r="O20" i="1"/>
  <c r="L13" i="1"/>
  <c r="N13" i="1"/>
  <c r="O13" i="1"/>
  <c r="L11" i="1"/>
  <c r="T11" i="1" s="1" a="1"/>
  <c r="T11" i="1" s="1"/>
  <c r="N11" i="1"/>
  <c r="O11" i="1"/>
  <c r="L21" i="1"/>
  <c r="N21" i="1"/>
  <c r="O21" i="1"/>
  <c r="L22" i="1"/>
  <c r="T22" i="1" s="1" a="1"/>
  <c r="T22" i="1" s="1"/>
  <c r="N22" i="1"/>
  <c r="O22" i="1"/>
  <c r="L23" i="1"/>
  <c r="T23" i="1" s="1" a="1"/>
  <c r="T23" i="1" s="1"/>
  <c r="N23" i="1"/>
  <c r="O23" i="1"/>
  <c r="T21" i="1" l="1" a="1"/>
  <c r="T21" i="1" s="1"/>
  <c r="T16" i="1" a="1"/>
  <c r="T16" i="1" s="1"/>
  <c r="T15" i="1" a="1"/>
  <c r="T15" i="1" s="1"/>
  <c r="T13" i="1" a="1"/>
  <c r="T13" i="1" s="1"/>
  <c r="T17" i="1" a="1"/>
  <c r="T17" i="1" s="1"/>
  <c r="T20" i="1" a="1"/>
  <c r="T20" i="1" s="1"/>
  <c r="T14" i="1" a="1"/>
  <c r="T14" i="1" s="1"/>
  <c r="T18" i="1" a="1"/>
  <c r="T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<sst xmlns="http://schemas.openxmlformats.org/spreadsheetml/2006/main" count="94" uniqueCount="68">
  <si>
    <t>Invoice</t>
  </si>
  <si>
    <t>Bill To</t>
  </si>
  <si>
    <t>Property</t>
  </si>
  <si>
    <t xml:space="preserve">Total </t>
  </si>
  <si>
    <t>Easy Street Capital</t>
  </si>
  <si>
    <t>Please remit payment to:</t>
  </si>
  <si>
    <t>Loan Amount</t>
  </si>
  <si>
    <t xml:space="preserve">                                                                                                                                                      </t>
  </si>
  <si>
    <t>Points</t>
  </si>
  <si>
    <t xml:space="preserve">Total Commission </t>
  </si>
  <si>
    <t>Account Number</t>
  </si>
  <si>
    <t xml:space="preserve">Wire Routing Number </t>
  </si>
  <si>
    <t>Borrower Name</t>
  </si>
  <si>
    <t>Borrower Email</t>
  </si>
  <si>
    <t>Bridge Commission Rate</t>
  </si>
  <si>
    <t>DSCR Commission Rate</t>
  </si>
  <si>
    <t>Bridge Commission</t>
  </si>
  <si>
    <t>DSCR/Bridge</t>
  </si>
  <si>
    <t>DSCR Commission</t>
  </si>
  <si>
    <t>DSCR</t>
  </si>
  <si>
    <t>Split</t>
  </si>
  <si>
    <t>DSCR TPO Commission Rate</t>
  </si>
  <si>
    <t>Bridge TPO Commission Rate</t>
  </si>
  <si>
    <t>DSCR TPO Commission</t>
  </si>
  <si>
    <t>Bridge TPO Commission</t>
  </si>
  <si>
    <t>DSCR TPO</t>
  </si>
  <si>
    <t>BRIDGE TPO</t>
  </si>
  <si>
    <t>Collin@easystreetcap.com</t>
  </si>
  <si>
    <t>ATTN: Collin Duffy</t>
  </si>
  <si>
    <t>DSCR SPLIT</t>
  </si>
  <si>
    <t>RTL SPLIT</t>
  </si>
  <si>
    <t>TPO RTL SPLIT</t>
  </si>
  <si>
    <t>TPO DSCR SPLIT</t>
  </si>
  <si>
    <t>BRIDGE</t>
  </si>
  <si>
    <t>Note:</t>
  </si>
  <si>
    <t>(Drop down List)</t>
  </si>
  <si>
    <t>Enter AE's Name</t>
  </si>
  <si>
    <t>RETAIL DSCR</t>
  </si>
  <si>
    <t>Upsell Commission</t>
  </si>
  <si>
    <t>(Upsell Only) 
RTL Note Rate</t>
  </si>
  <si>
    <t>(Upsell Only) 
RTL Base Rate</t>
  </si>
  <si>
    <t>Notes</t>
  </si>
  <si>
    <t>(Add a note if there are manual edits)</t>
  </si>
  <si>
    <r>
      <t xml:space="preserve">Please fill in all necessary cells highlighted in grey below. If more rows are required, please drag down all formulas in Columns J and L - T to the right after adding the additional rows. </t>
    </r>
    <r>
      <rPr>
        <b/>
        <sz val="11"/>
        <color rgb="FFFF0000"/>
        <rFont val="Calibri"/>
        <family val="2"/>
      </rPr>
      <t>Please add a note in Column U if there are any manual edits which break from formula results.</t>
    </r>
  </si>
  <si>
    <t>October Commissions</t>
  </si>
  <si>
    <t>113 W 23rd Ave, Post Falls, ID</t>
  </si>
  <si>
    <t>Anthony Heil</t>
  </si>
  <si>
    <t>aj.heil.wi@gmail.com</t>
  </si>
  <si>
    <t>Riley Bishop</t>
  </si>
  <si>
    <t>523 N Division Ave, Sandpoint, ID 83864</t>
  </si>
  <si>
    <t>103 Saxton Rd, Dover, DE 19901</t>
  </si>
  <si>
    <t>John Welcome</t>
  </si>
  <si>
    <t>john@liveinde.com</t>
  </si>
  <si>
    <t>135 Spruance Rd, Dover, DE 19901</t>
  </si>
  <si>
    <t>33 Buckthorn Dr, Camden Wyoming, DE 19934</t>
  </si>
  <si>
    <t>490 W Duck Creek Rd, Clayton, DE 19938</t>
  </si>
  <si>
    <t>5 Welch Dr E, Dover, DE 19901</t>
  </si>
  <si>
    <t>224 E 2 S, Rexburg, ID 83440</t>
  </si>
  <si>
    <t>John Corrigan</t>
  </si>
  <si>
    <t>speed2funaz@gmail.com</t>
  </si>
  <si>
    <t>6020 Lantana Lane, Fort Worth, TX, 76112</t>
  </si>
  <si>
    <t>Chase Christianson</t>
  </si>
  <si>
    <t>chase@offa.com</t>
  </si>
  <si>
    <t>1026 E Concorda Dr, Tempe, AZ, 85282</t>
  </si>
  <si>
    <t>Jason Whaley</t>
  </si>
  <si>
    <t>azhearthealer@gmail.com</t>
  </si>
  <si>
    <t>Repeat ESC borrower</t>
  </si>
  <si>
    <t>1237 East Ruth Avenue, Phoenix, AZ, 85020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</si>
</sst>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Date of Invoice: &quot;\ \ mm/dd/yyyy\ 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595959"/>
      <name val="Cambria"/>
      <family val="1"/>
    </font>
    <font>
      <sz val="14"/>
      <color rgb="FFFFFFFF"/>
      <name val="Calibri"/>
      <family val="2"/>
    </font>
    <font>
      <b/>
      <sz val="14"/>
      <color rgb="FF7E97AD"/>
      <name val="Calibri"/>
      <family val="2"/>
    </font>
    <font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20"/>
      <color rgb="FFFFFFFF"/>
      <name val="Calibri"/>
      <family val="2"/>
    </font>
    <font>
      <sz val="9"/>
      <color rgb="FFFFFFFF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0"/>
      <color rgb="FFFF0000"/>
      <name val="Calibri"/>
      <family val="2"/>
      <scheme val="minor"/>
    </font>
    <font>
      <b/>
      <sz val="11"/>
      <color rgb="FF7E97AD"/>
      <name val="Calibri"/>
      <family val="2"/>
    </font>
    <font>
      <sz val="10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7E97A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7E97AD"/>
      </bottom>
      <diagonal/>
    </border>
    <border>
      <left/>
      <right/>
      <top/>
      <bottom style="medium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0" fontId="2" fillId="0" borderId="0" xfId="2" applyNumberFormat="1" applyFont="1" applyAlignment="1">
      <alignment horizontal="center" vertical="center" wrapText="1"/>
    </xf>
    <xf numFmtId="0" fontId="6" fillId="0" borderId="0" xfId="3" applyAlignment="1">
      <alignment vertical="center"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44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0" fontId="8" fillId="2" borderId="0" xfId="2" applyNumberFormat="1" applyFont="1" applyFill="1" applyAlignment="1" applyProtection="1">
      <alignment horizontal="center" vertical="center" wrapText="1"/>
    </xf>
    <xf numFmtId="44" fontId="8" fillId="2" borderId="0" xfId="1" applyFont="1" applyFill="1" applyAlignment="1" applyProtection="1">
      <alignment horizontal="center" vertical="center" wrapText="1"/>
    </xf>
    <xf numFmtId="10" fontId="9" fillId="2" borderId="0" xfId="2" applyNumberFormat="1" applyFont="1" applyFill="1" applyAlignment="1" applyProtection="1">
      <alignment horizontal="center" wrapText="1"/>
    </xf>
    <xf numFmtId="165" fontId="9" fillId="2" borderId="0" xfId="0" applyNumberFormat="1" applyFont="1" applyFill="1" applyAlignment="1">
      <alignment horizontal="center" wrapText="1"/>
    </xf>
    <xf numFmtId="44" fontId="9" fillId="2" borderId="0" xfId="1" applyFont="1" applyFill="1" applyAlignment="1" applyProtection="1">
      <alignment horizontal="center" wrapText="1"/>
    </xf>
    <xf numFmtId="10" fontId="0" fillId="0" borderId="0" xfId="2" applyNumberFormat="1" applyFont="1" applyAlignment="1" applyProtection="1">
      <alignment horizontal="center"/>
    </xf>
    <xf numFmtId="44" fontId="0" fillId="0" borderId="0" xfId="1" applyFont="1" applyAlignment="1" applyProtection="1">
      <alignment horizontal="center"/>
    </xf>
    <xf numFmtId="0" fontId="6" fillId="0" borderId="0" xfId="3" applyAlignment="1" applyProtection="1">
      <alignment vertical="center" wrapText="1"/>
    </xf>
    <xf numFmtId="10" fontId="7" fillId="0" borderId="0" xfId="2" applyNumberFormat="1" applyFont="1" applyAlignment="1" applyProtection="1">
      <alignment wrapText="1"/>
    </xf>
    <xf numFmtId="44" fontId="7" fillId="0" borderId="0" xfId="1" applyFont="1" applyAlignment="1" applyProtection="1">
      <alignment wrapText="1"/>
    </xf>
    <xf numFmtId="0" fontId="5" fillId="2" borderId="2" xfId="0" applyFont="1" applyFill="1" applyBorder="1" applyAlignment="1">
      <alignment horizontal="center" vertical="center" wrapText="1"/>
    </xf>
    <xf numFmtId="10" fontId="5" fillId="2" borderId="2" xfId="2" applyNumberFormat="1" applyFont="1" applyFill="1" applyBorder="1" applyAlignment="1" applyProtection="1">
      <alignment horizontal="center" vertical="center" wrapText="1"/>
    </xf>
    <xf numFmtId="44" fontId="5" fillId="2" borderId="2" xfId="1" applyFont="1" applyFill="1" applyBorder="1" applyAlignment="1" applyProtection="1">
      <alignment horizontal="center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44" fontId="2" fillId="0" borderId="0" xfId="1" applyFont="1" applyAlignment="1" applyProtection="1">
      <alignment horizontal="center" vertical="center" wrapText="1"/>
    </xf>
    <xf numFmtId="44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0" fontId="5" fillId="2" borderId="2" xfId="0" applyNumberFormat="1" applyFont="1" applyFill="1" applyBorder="1" applyAlignment="1">
      <alignment horizontal="left" vertical="center" wrapText="1"/>
    </xf>
    <xf numFmtId="165" fontId="9" fillId="2" borderId="0" xfId="0" applyNumberFormat="1" applyFont="1" applyFill="1" applyAlignment="1" applyProtection="1">
      <alignment horizontal="center" wrapText="1"/>
      <protection locked="0"/>
    </xf>
    <xf numFmtId="166" fontId="2" fillId="0" borderId="0" xfId="1" applyNumberFormat="1" applyFont="1" applyAlignment="1" applyProtection="1">
      <alignment horizontal="center" vertical="center" wrapText="1"/>
    </xf>
    <xf numFmtId="0" fontId="2" fillId="3" borderId="0" xfId="0" applyFont="1" applyFill="1" applyAlignment="1" applyProtection="1">
      <alignment vertical="center" wrapText="1"/>
      <protection locked="0"/>
    </xf>
    <xf numFmtId="44" fontId="2" fillId="3" borderId="0" xfId="1" applyFont="1" applyFill="1" applyAlignment="1" applyProtection="1">
      <alignment vertical="center" wrapText="1"/>
      <protection locked="0"/>
    </xf>
    <xf numFmtId="10" fontId="2" fillId="3" borderId="0" xfId="2" applyNumberFormat="1" applyFont="1" applyFill="1" applyAlignment="1" applyProtection="1">
      <alignment horizontal="center" vertical="center" wrapText="1"/>
      <protection locked="0"/>
    </xf>
    <xf numFmtId="10" fontId="2" fillId="3" borderId="0" xfId="2" applyNumberFormat="1" applyFont="1" applyFill="1" applyAlignment="1" applyProtection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10" fontId="2" fillId="0" borderId="0" xfId="2" applyNumberFormat="1" applyFont="1" applyFill="1" applyAlignment="1" applyProtection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0" borderId="1" xfId="0" applyFont="1" applyBorder="1" applyAlignment="1">
      <alignment vertical="center" wrapText="1"/>
    </xf>
    <xf numFmtId="0" fontId="0" fillId="4" borderId="0" xfId="0" applyFill="1"/>
    <xf numFmtId="44" fontId="2" fillId="0" borderId="0" xfId="1" quotePrefix="1" applyFont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1" applyNumberFormat="1" applyFont="1" applyAlignment="1">
      <alignment horizontal="left" wrapText="1"/>
    </xf>
    <xf numFmtId="0" fontId="15" fillId="0" borderId="0" xfId="1" applyNumberFormat="1" applyFont="1" applyAlignment="1">
      <alignment horizontal="left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llin@easystreetc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showGridLines="0" tabSelected="1" topLeftCell="D2" zoomScale="85" zoomScaleNormal="85" zoomScaleSheetLayoutView="100" workbookViewId="0">
      <selection activeCell="S29" sqref="S29"/>
    </sheetView>
  </sheetViews>
  <sheetFormatPr defaultColWidth="8.5703125" defaultRowHeight="15" x14ac:dyDescent="0.25"/>
  <cols>
    <col min="1" max="1" width="42" customWidth="1"/>
    <col min="2" max="2" width="25.42578125" customWidth="1"/>
    <col min="3" max="3" width="31.42578125" customWidth="1"/>
    <col min="4" max="4" width="17.5703125" customWidth="1"/>
    <col min="5" max="5" width="21" style="2" bestFit="1" customWidth="1"/>
    <col min="6" max="6" width="23.42578125" style="2" bestFit="1" customWidth="1"/>
    <col min="7" max="9" width="20.42578125" style="9" customWidth="1"/>
    <col min="10" max="10" width="15.28515625" style="9" customWidth="1"/>
    <col min="11" max="11" width="14.5703125" style="2" customWidth="1"/>
    <col min="12" max="19" width="16.5703125" style="8" customWidth="1"/>
    <col min="20" max="20" width="18.42578125" style="2" customWidth="1"/>
    <col min="21" max="21" width="34.42578125" style="41" bestFit="1" customWidth="1"/>
  </cols>
  <sheetData>
    <row r="1" spans="1:21" ht="24" customHeight="1" x14ac:dyDescent="0.25">
      <c r="A1" s="46" t="s">
        <v>36</v>
      </c>
      <c r="B1" s="46"/>
      <c r="C1" s="46"/>
      <c r="D1" s="46"/>
      <c r="E1" s="10"/>
      <c r="F1" s="10" t="s">
        <v>0</v>
      </c>
      <c r="G1" s="11"/>
      <c r="H1" s="11"/>
      <c r="I1" s="11"/>
      <c r="J1" s="11"/>
      <c r="K1" s="10"/>
      <c r="L1" s="12"/>
      <c r="M1" s="12"/>
      <c r="N1" s="12"/>
      <c r="O1" s="12"/>
      <c r="P1" s="12"/>
      <c r="Q1" s="12"/>
      <c r="R1" s="12"/>
      <c r="S1" s="12"/>
      <c r="T1" s="10"/>
      <c r="U1" s="10"/>
    </row>
    <row r="2" spans="1:21" ht="21.75" customHeight="1" x14ac:dyDescent="0.25">
      <c r="A2" s="45" t="s">
        <v>48</v>
      </c>
      <c r="B2" s="45"/>
      <c r="C2" s="45"/>
      <c r="D2" s="45"/>
      <c r="E2" s="10"/>
      <c r="F2" s="10"/>
      <c r="G2" s="11"/>
      <c r="H2" s="11"/>
      <c r="I2" s="11"/>
      <c r="J2" s="11"/>
      <c r="K2" s="10"/>
      <c r="L2" s="12"/>
      <c r="M2" s="12"/>
      <c r="N2" s="12"/>
      <c r="O2" s="12"/>
      <c r="P2" s="12"/>
      <c r="Q2" s="12"/>
      <c r="R2" s="12"/>
      <c r="S2" s="12"/>
      <c r="T2" s="10"/>
      <c r="U2" s="10"/>
    </row>
    <row r="3" spans="1:21" ht="28.5" customHeight="1" x14ac:dyDescent="0.25">
      <c r="A3" s="44" t="s">
        <v>44</v>
      </c>
      <c r="B3" s="44"/>
      <c r="C3" s="44"/>
      <c r="D3" s="44"/>
      <c r="E3" s="10"/>
      <c r="F3" s="29"/>
      <c r="G3" s="13"/>
      <c r="H3" s="13"/>
      <c r="I3" s="13"/>
      <c r="J3" s="13"/>
      <c r="K3" s="14"/>
      <c r="L3" s="15"/>
      <c r="M3" s="15"/>
      <c r="N3" s="15"/>
      <c r="O3" s="15"/>
      <c r="P3" s="15"/>
      <c r="Q3" s="15"/>
      <c r="R3" s="15"/>
      <c r="S3" s="15"/>
      <c r="T3" s="14"/>
      <c r="U3" s="14"/>
    </row>
    <row r="4" spans="1:21" ht="15.75" thickBot="1" x14ac:dyDescent="0.3">
      <c r="G4" s="16"/>
      <c r="H4" s="16"/>
      <c r="I4" s="16"/>
      <c r="J4" s="16"/>
      <c r="L4" s="17"/>
      <c r="M4" s="17"/>
      <c r="N4" s="17"/>
      <c r="O4" s="17"/>
      <c r="P4" s="17"/>
      <c r="Q4" s="17"/>
      <c r="R4" s="17"/>
      <c r="S4" s="17"/>
      <c r="U4" s="2"/>
    </row>
    <row r="5" spans="1:21" ht="15" customHeight="1" thickBot="1" x14ac:dyDescent="0.3">
      <c r="A5" s="38" t="s">
        <v>1</v>
      </c>
      <c r="B5" s="35" t="s">
        <v>34</v>
      </c>
      <c r="C5" s="47" t="s">
        <v>43</v>
      </c>
      <c r="D5" s="48"/>
      <c r="E5" s="49"/>
      <c r="G5" s="16"/>
      <c r="H5" s="16"/>
      <c r="I5" s="16"/>
      <c r="J5" s="16"/>
      <c r="L5" s="17"/>
      <c r="M5" s="17"/>
      <c r="N5" s="17"/>
      <c r="O5" s="17"/>
      <c r="P5" s="17"/>
      <c r="Q5" s="17"/>
      <c r="R5" s="17"/>
      <c r="S5" s="17"/>
      <c r="U5" s="2"/>
    </row>
    <row r="6" spans="1:21" x14ac:dyDescent="0.25">
      <c r="A6" s="1" t="s">
        <v>4</v>
      </c>
      <c r="B6" s="1"/>
      <c r="C6" s="50"/>
      <c r="D6" s="51"/>
      <c r="E6" s="52"/>
      <c r="G6" s="16"/>
      <c r="H6" s="16"/>
      <c r="I6" s="16"/>
      <c r="J6" s="16"/>
      <c r="L6" s="17"/>
      <c r="M6" s="17"/>
      <c r="N6" s="17"/>
      <c r="O6" s="17"/>
      <c r="P6" s="17"/>
      <c r="Q6" s="17"/>
      <c r="R6" s="17"/>
      <c r="S6" s="17"/>
      <c r="U6" s="2"/>
    </row>
    <row r="7" spans="1:21" x14ac:dyDescent="0.25">
      <c r="A7" s="1" t="s">
        <v>28</v>
      </c>
      <c r="B7" s="1"/>
      <c r="C7" s="50"/>
      <c r="D7" s="51"/>
      <c r="E7" s="52"/>
      <c r="G7" s="16"/>
      <c r="H7" s="16"/>
      <c r="I7" s="16"/>
      <c r="J7" s="16"/>
      <c r="L7" s="17"/>
      <c r="M7" s="17"/>
      <c r="N7" s="17"/>
      <c r="O7" s="17"/>
      <c r="P7" s="17"/>
      <c r="Q7" s="17"/>
      <c r="R7" s="17"/>
      <c r="S7" s="17"/>
      <c r="U7" s="2"/>
    </row>
    <row r="8" spans="1:21" ht="15.75" thickBot="1" x14ac:dyDescent="0.3">
      <c r="A8" s="4" t="s">
        <v>27</v>
      </c>
      <c r="B8" s="18"/>
      <c r="C8" s="53"/>
      <c r="D8" s="54"/>
      <c r="E8" s="55"/>
      <c r="G8" s="16"/>
      <c r="H8" s="16"/>
      <c r="I8" s="16"/>
      <c r="J8" s="16"/>
      <c r="L8" s="17"/>
      <c r="M8" s="17"/>
      <c r="N8" s="17"/>
      <c r="O8" s="17"/>
      <c r="P8" s="17"/>
      <c r="Q8" s="17"/>
      <c r="R8" s="17"/>
      <c r="S8" s="17"/>
      <c r="U8" s="2"/>
    </row>
    <row r="9" spans="1:21" x14ac:dyDescent="0.25">
      <c r="A9" s="18"/>
      <c r="B9" s="18"/>
      <c r="C9" s="18"/>
      <c r="D9" s="5" t="s">
        <v>7</v>
      </c>
      <c r="E9" s="5"/>
      <c r="F9" s="5"/>
      <c r="G9" s="19"/>
      <c r="H9" s="19"/>
      <c r="I9" s="19"/>
      <c r="J9" s="19"/>
      <c r="K9" s="37" t="s">
        <v>35</v>
      </c>
      <c r="L9" s="20"/>
      <c r="M9" s="20"/>
      <c r="N9" s="20"/>
      <c r="O9" s="20"/>
      <c r="P9" s="20"/>
      <c r="Q9" s="20"/>
      <c r="R9" s="20"/>
      <c r="S9" s="20"/>
      <c r="T9" s="5"/>
      <c r="U9" s="37" t="s">
        <v>42</v>
      </c>
    </row>
    <row r="10" spans="1:21" ht="26.25" thickBot="1" x14ac:dyDescent="0.3">
      <c r="A10" s="21" t="s">
        <v>2</v>
      </c>
      <c r="B10" s="21" t="s">
        <v>12</v>
      </c>
      <c r="C10" s="21" t="s">
        <v>13</v>
      </c>
      <c r="D10" s="21" t="s">
        <v>6</v>
      </c>
      <c r="E10" s="21" t="s">
        <v>8</v>
      </c>
      <c r="F10" s="21" t="s">
        <v>14</v>
      </c>
      <c r="G10" s="22" t="s">
        <v>15</v>
      </c>
      <c r="H10" s="22" t="s">
        <v>21</v>
      </c>
      <c r="I10" s="22" t="s">
        <v>22</v>
      </c>
      <c r="J10" s="22" t="s">
        <v>20</v>
      </c>
      <c r="K10" s="21" t="s">
        <v>17</v>
      </c>
      <c r="L10" s="23" t="s">
        <v>16</v>
      </c>
      <c r="M10" s="23" t="s">
        <v>18</v>
      </c>
      <c r="N10" s="23" t="s">
        <v>23</v>
      </c>
      <c r="O10" s="23" t="s">
        <v>24</v>
      </c>
      <c r="P10" s="23" t="s">
        <v>20</v>
      </c>
      <c r="Q10" s="23" t="s">
        <v>40</v>
      </c>
      <c r="R10" s="23" t="s">
        <v>39</v>
      </c>
      <c r="S10" s="23" t="s">
        <v>38</v>
      </c>
      <c r="T10" s="21" t="s">
        <v>9</v>
      </c>
      <c r="U10" s="21" t="s">
        <v>41</v>
      </c>
    </row>
    <row r="11" spans="1:21" x14ac:dyDescent="0.25">
      <c r="A11" s="31" t="s">
        <v>63</v>
      </c>
      <c r="B11" s="31" t="s">
        <v>64</v>
      </c>
      <c r="C11" s="31" t="s">
        <v>65</v>
      </c>
      <c r="D11" s="32">
        <v>370350</v>
      </c>
      <c r="E11" s="33">
        <v>0.01</v>
      </c>
      <c r="F11" s="34">
        <v>0.2</v>
      </c>
      <c r="G11" s="34">
        <v>0</v>
      </c>
      <c r="H11" s="34">
        <v>0</v>
      </c>
      <c r="I11" s="34">
        <v>0</v>
      </c>
      <c r="J11" s="36" t="str">
        <f>IF(ISNUMBER(IF(K11="RTL SPLIT",F11/2,IF(K11="DSCR SPLIT",G11/2,IF(K11="TPO RTL SPLIT",I11/2,IF(K11="TPO DSCR SPLIT",H11/2))))),IF(K11="RTL SPLIT",F11/2,IF(K11="DSCR SPLIT",G11/2,IF(K11="TPO RTL SPLIT",I11/2,IF(K11="TPO DSCR SPLIT",H11/2,0)))),"")</f>
        <v/>
      </c>
      <c r="K11" s="33" t="s">
        <v>33</v>
      </c>
      <c r="L11" s="25">
        <f>(D11*E11)*F11</f>
        <v>740.7</v>
      </c>
      <c r="M11" s="25">
        <f>D11*G11</f>
        <v>0</v>
      </c>
      <c r="N11" s="25">
        <f>(H11*D11)</f>
        <v>0</v>
      </c>
      <c r="O11" s="25">
        <f>(D11*I11)</f>
        <v>0</v>
      </c>
      <c r="P11" s="30" t="str" cm="1">
        <f t="array" ref="P11">IFERROR(IF(ISNUMBER(_xlfn.IFS(K11="RTL SPLIT",J11*D11*E11,K11="DSCR SPLIT",J11*D11,K11="TPO DSCR SPLIT",J11*D11,K11="TPO RTL SPLIT",J11*D11*E11*100)),_xlfn.IFS(K11="RTL SPLIT",J11*D11*E11,K11="DSCR SPLIT",J11*D11,K11="TPO DSCR SPLIT",J11*D11,K11="TPO RTL SPLIT",J11*D11*E11*100),""),0)</f>
        <v/>
      </c>
      <c r="Q11" s="34">
        <v>8.8999999999999996E-2</v>
      </c>
      <c r="R11" s="34">
        <v>9.9000000000000005E-2</v>
      </c>
      <c r="S11" s="25">
        <f>IF(R11&gt;Q11,((R11-Q11)*D11)*0.1667,0)</f>
        <v>617.3734500000005</v>
      </c>
      <c r="T11" s="40" cm="1">
        <f t="array" ref="T11">IFERROR(_xlfn.IFS(K11="BRIDGE",L11+S11,K11="DSCR",M11,K11="RETAIL DSCR",M11,K11="DSCR TPO",N11,K11="RTL SPLIT",P11+(S11/2),K11="DSCR SPLIT",P11,K11="TPO DSCR SPLIT",P11,K11="Bridge TPO",IF(AND(K11="BRIDGE TPO",S11&lt;0.01),O11,IF(AND(K11="Bridge TPO",$S11&gt;0,(L11+S11)&gt;(D11*0.003)),L11+S11,IF(AND(K11="Bridge TPO",$S11&gt;0,(L11+S11)&lt;(D11*0.003)),D11*0.003,0))),K11="TPO RTL SPLIT",IF(AND(K11="TPO RTL SPLIT",S11&lt;0.01),P11,IF(AND(K11="TPO RTL SPLIT",S11&gt;0,((L11/2)+(S11/2))&gt;(D11*0.0015)),(L11/2)+(S11/2),IF(AND(K11="TPO RTL SPLIT",$S11&gt;0,((L11/2)+(S11/2))&lt;(D11*0.0015)),D11*0.0015,0)))),0)</f>
        <v>1358.0734500000005</v>
      </c>
      <c r="U11" s="43" t="s">
        <v>66</v>
      </c>
    </row>
    <row r="12" spans="1:21" x14ac:dyDescent="0.25">
      <c r="A12" s="31" t="s">
        <v>49</v>
      </c>
      <c r="B12" s="31" t="s">
        <v>46</v>
      </c>
      <c r="C12" s="31" t="s">
        <v>47</v>
      </c>
      <c r="D12" s="32">
        <v>391500</v>
      </c>
      <c r="E12" s="33">
        <v>6.4999999999999997E-3</v>
      </c>
      <c r="F12" s="34">
        <v>0.2</v>
      </c>
      <c r="G12" s="34">
        <v>0</v>
      </c>
      <c r="H12" s="34">
        <v>0</v>
      </c>
      <c r="I12" s="34">
        <v>0</v>
      </c>
      <c r="J12" s="36"/>
      <c r="K12" s="33" t="s">
        <v>33</v>
      </c>
      <c r="L12" s="25">
        <f t="shared" ref="L12" si="0">(D12*E12)*F12</f>
        <v>508.95000000000005</v>
      </c>
      <c r="M12" s="25">
        <f t="shared" ref="M12" si="1">D12*G12</f>
        <v>0</v>
      </c>
      <c r="N12" s="25">
        <f t="shared" ref="N12" si="2">(H12*D12)</f>
        <v>0</v>
      </c>
      <c r="O12" s="25">
        <f t="shared" ref="O12" si="3">(D12*I12)</f>
        <v>0</v>
      </c>
      <c r="P12" s="30" t="str" cm="1">
        <f t="array" ref="P12">IFERROR(IF(ISNUMBER(_xlfn.IFS(K12="RTL SPLIT",J12*D12*E12,K12="DSCR SPLIT",J12*D12,K12="TPO DSCR SPLIT",J12*D12,K12="TPO RTL SPLIT",J12*D12*E12*100)),_xlfn.IFS(K12="RTL SPLIT",J12*D12*E12,K12="DSCR SPLIT",J12*D12,K12="TPO DSCR SPLIT",J12*D12,K12="TPO RTL SPLIT",J12*D12*E12*100),""),0)</f>
        <v/>
      </c>
      <c r="Q12" s="34">
        <v>8.8999999999999996E-2</v>
      </c>
      <c r="R12" s="34">
        <v>0.11899999999999999</v>
      </c>
      <c r="S12" s="25">
        <f t="shared" ref="S12" si="4">IF(R12&gt;Q12,((R12-Q12)*D12)*0.1667,0)</f>
        <v>1957.8915</v>
      </c>
      <c r="T12" s="40" cm="1">
        <f t="array" ref="T12">IFERROR(_xlfn.IFS(K12="BRIDGE",L12+S12,K12="DSCR",M12,K12="RETAIL DSCR",M12,K12="DSCR TPO",N12,K12="RTL SPLIT",P12+(S12/2),K12="DSCR SPLIT",P12,K12="TPO DSCR SPLIT",P12,K12="Bridge TPO",IF(AND(K12="BRIDGE TPO",S12&lt;0.01),O12,IF(AND(K12="Bridge TPO",$S12&gt;0,(L12+S12)&gt;(D12*0.003)),L12+S12,IF(AND(K12="Bridge TPO",$S12&gt;0,(L12+S12)&lt;(D12*0.003)),D12*0.003,0))),K12="TPO RTL SPLIT",IF(AND(K12="TPO RTL SPLIT",S12&lt;0.01),P12,IF(AND(K12="TPO RTL SPLIT",S12&gt;0,((L12/2)+(S12/2))&gt;(D12*0.0015)),(L12/2)+(S12/2),IF(AND(K12="TPO RTL SPLIT",$S12&gt;0,((L12/2)+(S12/2))&lt;(D12*0.0015)),D12*0.0015,0)))),0)</f>
        <v>2466.8415</v>
      </c>
      <c r="U12" s="43" t="s">
        <v>66</v>
      </c>
    </row>
    <row r="13" spans="1:21" x14ac:dyDescent="0.25">
      <c r="A13" s="31" t="s">
        <v>60</v>
      </c>
      <c r="B13" s="31" t="s">
        <v>61</v>
      </c>
      <c r="C13" s="31" t="s">
        <v>62</v>
      </c>
      <c r="D13" s="32">
        <v>297500</v>
      </c>
      <c r="E13" s="33">
        <v>0.01</v>
      </c>
      <c r="F13" s="34">
        <v>0</v>
      </c>
      <c r="G13" s="34">
        <v>0</v>
      </c>
      <c r="H13" s="34">
        <v>0</v>
      </c>
      <c r="I13" s="34">
        <v>3.0000000000000001E-3</v>
      </c>
      <c r="J13" s="36" t="str">
        <f t="shared" ref="J13:J19" si="5">IF(ISNUMBER(IF(K13="RTL SPLIT",F13/2,IF(K13="DSCR SPLIT",G13/2,IF(K13="TPO RTL SPLIT",I13/2,IF(K13="TPO DSCR SPLIT",H13/2))))),IF(K13="RTL SPLIT",F13/2,IF(K13="DSCR SPLIT",G13/2,IF(K13="TPO RTL SPLIT",I13/2,IF(K13="TPO DSCR SPLIT",H13/2,0)))),"")</f>
        <v/>
      </c>
      <c r="K13" s="33" t="s">
        <v>26</v>
      </c>
      <c r="L13" s="25">
        <f t="shared" ref="L13:L19" si="6">(D13*E13)*F13</f>
        <v>0</v>
      </c>
      <c r="M13" s="25">
        <f t="shared" ref="M13:M19" si="7">D13*G13</f>
        <v>0</v>
      </c>
      <c r="N13" s="25">
        <f t="shared" ref="N13:N19" si="8">(H13*D13)</f>
        <v>0</v>
      </c>
      <c r="O13" s="25">
        <f t="shared" ref="O13:O19" si="9">(D13*I13)</f>
        <v>892.5</v>
      </c>
      <c r="P13" s="30" t="str" cm="1">
        <f t="array" ref="P13">IFERROR(IF(ISNUMBER(_xlfn.IFS(K13="RTL SPLIT",J13*D13*E13,K13="DSCR SPLIT",J13*D13,K13="TPO DSCR SPLIT",J13*D13,K13="TPO RTL SPLIT",J13*D13*E13*100)),_xlfn.IFS(K13="RTL SPLIT",J13*D13*E13,K13="DSCR SPLIT",J13*D13,K13="TPO DSCR SPLIT",J13*D13,K13="TPO RTL SPLIT",J13*D13*E13*100),""),0)</f>
        <v/>
      </c>
      <c r="Q13" s="34"/>
      <c r="R13" s="34"/>
      <c r="S13" s="25">
        <f t="shared" ref="S13:S19" si="10">IF(R13&gt;Q13,((R13-Q13)*D13)*0.1667,0)</f>
        <v>0</v>
      </c>
      <c r="T13" s="40" cm="1">
        <f t="array" ref="T13">IFERROR(_xlfn.IFS(K13="BRIDGE",L13+S13,K13="DSCR",M13,K13="RETAIL DSCR",M13,K13="DSCR TPO",N13,K13="RTL SPLIT",P13+(S13/2),K13="DSCR SPLIT",P13,K13="TPO DSCR SPLIT",P13,K13="Bridge TPO",IF(AND(K13="BRIDGE TPO",S13&lt;0.01),O13,IF(AND(K13="Bridge TPO",$S13&gt;0,(L13+S13)&gt;(D13*0.003)),L13+S13,IF(AND(K13="Bridge TPO",$S13&gt;0,(L13+S13)&lt;(D13*0.003)),D13*0.003,0))),K13="TPO RTL SPLIT",IF(AND(K13="TPO RTL SPLIT",S13&lt;0.01),P13,IF(AND(K13="TPO RTL SPLIT",S13&gt;0,((L13/2)+(S13/2))&gt;(D13*0.0015)),(L13/2)+(S13/2),IF(AND(K13="TPO RTL SPLIT",$S13&gt;0,((L13/2)+(S13/2))&lt;(D13*0.0015)),D13*0.0015,0)))),0)</f>
        <v>892.5</v>
      </c>
      <c r="U13" s="42"/>
    </row>
    <row r="14" spans="1:21" x14ac:dyDescent="0.25">
      <c r="A14" s="31" t="s">
        <v>50</v>
      </c>
      <c r="B14" s="31" t="s">
        <v>51</v>
      </c>
      <c r="C14" s="31" t="s">
        <v>52</v>
      </c>
      <c r="D14" s="32">
        <v>189000</v>
      </c>
      <c r="E14" s="33">
        <v>1E-3</v>
      </c>
      <c r="F14" s="34">
        <v>0</v>
      </c>
      <c r="G14" s="34">
        <v>5.0000000000000001E-3</v>
      </c>
      <c r="H14" s="34">
        <v>0</v>
      </c>
      <c r="I14" s="34">
        <v>0</v>
      </c>
      <c r="J14" s="36" t="str">
        <f t="shared" si="5"/>
        <v/>
      </c>
      <c r="K14" s="33" t="s">
        <v>19</v>
      </c>
      <c r="L14" s="25">
        <f t="shared" si="6"/>
        <v>0</v>
      </c>
      <c r="M14" s="25">
        <f t="shared" si="7"/>
        <v>945</v>
      </c>
      <c r="N14" s="25">
        <f t="shared" si="8"/>
        <v>0</v>
      </c>
      <c r="O14" s="25">
        <f t="shared" si="9"/>
        <v>0</v>
      </c>
      <c r="P14" s="30" t="str" cm="1">
        <f t="array" ref="P14">IFERROR(IF(ISNUMBER(_xlfn.IFS(K14="RTL SPLIT",J14*D14*E14,K14="DSCR SPLIT",J14*D14,K14="TPO DSCR SPLIT",J14*D14,K14="TPO RTL SPLIT",J14*D14*E14*100)),_xlfn.IFS(K14="RTL SPLIT",J14*D14*E14,K14="DSCR SPLIT",J14*D14,K14="TPO DSCR SPLIT",J14*D14,K14="TPO RTL SPLIT",J14*D14*E14*100),""),0)</f>
        <v/>
      </c>
      <c r="Q14" s="34"/>
      <c r="R14" s="34"/>
      <c r="S14" s="25">
        <f t="shared" si="10"/>
        <v>0</v>
      </c>
      <c r="T14" s="40" cm="1">
        <f t="array" ref="T14">IFERROR(_xlfn.IFS(K14="BRIDGE",L14+S14,K14="DSCR",M14,K14="RETAIL DSCR",M14,K14="DSCR TPO",N14,K14="RTL SPLIT",P14+(S14/2),K14="DSCR SPLIT",P14,K14="TPO DSCR SPLIT",P14,K14="Bridge TPO",IF(AND(K14="BRIDGE TPO",S14&lt;0.01),O14,IF(AND(K14="Bridge TPO",$S14&gt;0,(L14+S14)&gt;(D14*0.003)),L14+S14,IF(AND(K14="Bridge TPO",$S14&gt;0,(L14+S14)&lt;(D14*0.003)),D14*0.003,0))),K14="TPO RTL SPLIT",IF(AND(K14="TPO RTL SPLIT",S14&lt;0.01),P14,IF(AND(K14="TPO RTL SPLIT",S14&gt;0,((L14/2)+(S14/2))&gt;(D14*0.0015)),(L14/2)+(S14/2),IF(AND(K14="TPO RTL SPLIT",$S14&gt;0,((L14/2)+(S14/2))&lt;(D14*0.0015)),D14*0.0015,0)))),0)</f>
        <v>945</v>
      </c>
      <c r="U14" s="42"/>
    </row>
    <row r="15" spans="1:21" x14ac:dyDescent="0.25">
      <c r="A15" s="31" t="s">
        <v>53</v>
      </c>
      <c r="B15" s="31" t="s">
        <v>51</v>
      </c>
      <c r="C15" s="31" t="s">
        <v>52</v>
      </c>
      <c r="D15" s="32">
        <v>126000</v>
      </c>
      <c r="E15" s="33">
        <v>3.5000000000000001E-3</v>
      </c>
      <c r="F15" s="34">
        <v>0</v>
      </c>
      <c r="G15" s="34">
        <v>5.0000000000000001E-3</v>
      </c>
      <c r="H15" s="34">
        <v>0</v>
      </c>
      <c r="I15" s="34">
        <v>0</v>
      </c>
      <c r="J15" s="36" t="str">
        <f t="shared" si="5"/>
        <v/>
      </c>
      <c r="K15" s="33" t="s">
        <v>19</v>
      </c>
      <c r="L15" s="25">
        <f t="shared" si="6"/>
        <v>0</v>
      </c>
      <c r="M15" s="25">
        <f t="shared" si="7"/>
        <v>630</v>
      </c>
      <c r="N15" s="25">
        <f t="shared" si="8"/>
        <v>0</v>
      </c>
      <c r="O15" s="25">
        <f t="shared" si="9"/>
        <v>0</v>
      </c>
      <c r="P15" s="30" t="str" cm="1">
        <f t="array" ref="P15">IFERROR(IF(ISNUMBER(_xlfn.IFS(K15="RTL SPLIT",J15*D15*E15,K15="DSCR SPLIT",J15*D15,K15="TPO DSCR SPLIT",J15*D15,K15="TPO RTL SPLIT",J15*D15*E15*100)),_xlfn.IFS(K15="RTL SPLIT",J15*D15*E15,K15="DSCR SPLIT",J15*D15,K15="TPO DSCR SPLIT",J15*D15,K15="TPO RTL SPLIT",J15*D15*E15*100),""),0)</f>
        <v/>
      </c>
      <c r="Q15" s="34"/>
      <c r="R15" s="34"/>
      <c r="S15" s="25">
        <f t="shared" si="10"/>
        <v>0</v>
      </c>
      <c r="T15" s="40" cm="1">
        <f t="array" ref="T15">IFERROR(_xlfn.IFS(K15="BRIDGE",L15+S15,K15="DSCR",M15,K15="RETAIL DSCR",M15,K15="DSCR TPO",N15,K15="RTL SPLIT",P15+(S15/2),K15="DSCR SPLIT",P15,K15="TPO DSCR SPLIT",P15,K15="Bridge TPO",IF(AND(K15="BRIDGE TPO",S15&lt;0.01),O15,IF(AND(K15="Bridge TPO",$S15&gt;0,(L15+S15)&gt;(D15*0.003)),L15+S15,IF(AND(K15="Bridge TPO",$S15&gt;0,(L15+S15)&lt;(D15*0.003)),D15*0.003,0))),K15="TPO RTL SPLIT",IF(AND(K15="TPO RTL SPLIT",S15&lt;0.01),P15,IF(AND(K15="TPO RTL SPLIT",S15&gt;0,((L15/2)+(S15/2))&gt;(D15*0.0015)),(L15/2)+(S15/2),IF(AND(K15="TPO RTL SPLIT",$S15&gt;0,((L15/2)+(S15/2))&lt;(D15*0.0015)),D15*0.0015,0)))),0)</f>
        <v>630</v>
      </c>
      <c r="U15" s="42"/>
    </row>
    <row r="16" spans="1:21" x14ac:dyDescent="0.25">
      <c r="A16" s="31" t="s">
        <v>54</v>
      </c>
      <c r="B16" s="31" t="s">
        <v>51</v>
      </c>
      <c r="C16" s="31" t="s">
        <v>52</v>
      </c>
      <c r="D16" s="32">
        <v>199500</v>
      </c>
      <c r="E16" s="33">
        <v>4.7999999999999996E-3</v>
      </c>
      <c r="F16" s="34">
        <v>0</v>
      </c>
      <c r="G16" s="34">
        <v>5.0000000000000001E-3</v>
      </c>
      <c r="H16" s="34">
        <v>0</v>
      </c>
      <c r="I16" s="34">
        <v>0</v>
      </c>
      <c r="J16" s="36" t="str">
        <f t="shared" si="5"/>
        <v/>
      </c>
      <c r="K16" s="33" t="s">
        <v>19</v>
      </c>
      <c r="L16" s="25">
        <f t="shared" si="6"/>
        <v>0</v>
      </c>
      <c r="M16" s="25">
        <f t="shared" si="7"/>
        <v>997.5</v>
      </c>
      <c r="N16" s="25">
        <f t="shared" si="8"/>
        <v>0</v>
      </c>
      <c r="O16" s="25">
        <f t="shared" si="9"/>
        <v>0</v>
      </c>
      <c r="P16" s="30" t="str" cm="1">
        <f t="array" ref="P16">IFERROR(IF(ISNUMBER(_xlfn.IFS(K16="RTL SPLIT",J16*D16*E16,K16="DSCR SPLIT",J16*D16,K16="TPO DSCR SPLIT",J16*D16,K16="TPO RTL SPLIT",J16*D16*E16*100)),_xlfn.IFS(K16="RTL SPLIT",J16*D16*E16,K16="DSCR SPLIT",J16*D16,K16="TPO DSCR SPLIT",J16*D16,K16="TPO RTL SPLIT",J16*D16*E16*100),""),0)</f>
        <v/>
      </c>
      <c r="Q16" s="34"/>
      <c r="R16" s="34"/>
      <c r="S16" s="25">
        <f t="shared" si="10"/>
        <v>0</v>
      </c>
      <c r="T16" s="40" cm="1">
        <f t="array" ref="T16">IFERROR(_xlfn.IFS(K16="BRIDGE",L16+S16,K16="DSCR",M16,K16="RETAIL DSCR",M16,K16="DSCR TPO",N16,K16="RTL SPLIT",P16+(S16/2),K16="DSCR SPLIT",P16,K16="TPO DSCR SPLIT",P16,K16="Bridge TPO",IF(AND(K16="BRIDGE TPO",S16&lt;0.01),O16,IF(AND(K16="Bridge TPO",$S16&gt;0,(L16+S16)&gt;(D16*0.003)),L16+S16,IF(AND(K16="Bridge TPO",$S16&gt;0,(L16+S16)&lt;(D16*0.003)),D16*0.003,0))),K16="TPO RTL SPLIT",IF(AND(K16="TPO RTL SPLIT",S16&lt;0.01),P16,IF(AND(K16="TPO RTL SPLIT",S16&gt;0,((L16/2)+(S16/2))&gt;(D16*0.0015)),(L16/2)+(S16/2),IF(AND(K16="TPO RTL SPLIT",$S16&gt;0,((L16/2)+(S16/2))&lt;(D16*0.0015)),D16*0.0015,0)))),0)</f>
        <v>997.5</v>
      </c>
      <c r="U16" s="42"/>
    </row>
    <row r="17" spans="1:21" x14ac:dyDescent="0.25">
      <c r="A17" s="31" t="s">
        <v>55</v>
      </c>
      <c r="B17" s="31" t="s">
        <v>51</v>
      </c>
      <c r="C17" s="31" t="s">
        <v>52</v>
      </c>
      <c r="D17" s="32">
        <v>182000</v>
      </c>
      <c r="E17" s="33">
        <v>1E-3</v>
      </c>
      <c r="F17" s="34">
        <v>0</v>
      </c>
      <c r="G17" s="34">
        <v>5.0000000000000001E-3</v>
      </c>
      <c r="H17" s="34">
        <v>0</v>
      </c>
      <c r="I17" s="34">
        <v>0</v>
      </c>
      <c r="J17" s="36" t="str">
        <f t="shared" si="5"/>
        <v/>
      </c>
      <c r="K17" s="33" t="s">
        <v>19</v>
      </c>
      <c r="L17" s="25">
        <f t="shared" si="6"/>
        <v>0</v>
      </c>
      <c r="M17" s="25">
        <f t="shared" si="7"/>
        <v>910</v>
      </c>
      <c r="N17" s="25">
        <f t="shared" si="8"/>
        <v>0</v>
      </c>
      <c r="O17" s="25">
        <f t="shared" si="9"/>
        <v>0</v>
      </c>
      <c r="P17" s="30" t="str" cm="1">
        <f t="array" ref="P17">IFERROR(IF(ISNUMBER(_xlfn.IFS(K17="RTL SPLIT",J17*D17*E17,K17="DSCR SPLIT",J17*D17,K17="TPO DSCR SPLIT",J17*D17,K17="TPO RTL SPLIT",J17*D17*E17*100)),_xlfn.IFS(K17="RTL SPLIT",J17*D17*E17,K17="DSCR SPLIT",J17*D17,K17="TPO DSCR SPLIT",J17*D17,K17="TPO RTL SPLIT",J17*D17*E17*100),""),0)</f>
        <v/>
      </c>
      <c r="Q17" s="34"/>
      <c r="R17" s="34"/>
      <c r="S17" s="25">
        <f t="shared" si="10"/>
        <v>0</v>
      </c>
      <c r="T17" s="40" cm="1">
        <f t="array" ref="T17">IFERROR(_xlfn.IFS(K17="BRIDGE",L17+S17,K17="DSCR",M17,K17="RETAIL DSCR",M17,K17="DSCR TPO",N17,K17="RTL SPLIT",P17+(S17/2),K17="DSCR SPLIT",P17,K17="TPO DSCR SPLIT",P17,K17="Bridge TPO",IF(AND(K17="BRIDGE TPO",S17&lt;0.01),O17,IF(AND(K17="Bridge TPO",$S17&gt;0,(L17+S17)&gt;(D17*0.003)),L17+S17,IF(AND(K17="Bridge TPO",$S17&gt;0,(L17+S17)&lt;(D17*0.003)),D17*0.003,0))),K17="TPO RTL SPLIT",IF(AND(K17="TPO RTL SPLIT",S17&lt;0.01),P17,IF(AND(K17="TPO RTL SPLIT",S17&gt;0,((L17/2)+(S17/2))&gt;(D17*0.0015)),(L17/2)+(S17/2),IF(AND(K17="TPO RTL SPLIT",$S17&gt;0,((L17/2)+(S17/2))&lt;(D17*0.0015)),D17*0.0015,0)))),0)</f>
        <v>910</v>
      </c>
      <c r="U17" s="42"/>
    </row>
    <row r="18" spans="1:21" x14ac:dyDescent="0.25">
      <c r="A18" s="31" t="s">
        <v>56</v>
      </c>
      <c r="B18" s="31" t="s">
        <v>51</v>
      </c>
      <c r="C18" s="31" t="s">
        <v>52</v>
      </c>
      <c r="D18" s="32">
        <v>166750</v>
      </c>
      <c r="E18" s="33">
        <v>4.7999999999999996E-3</v>
      </c>
      <c r="F18" s="34">
        <v>0</v>
      </c>
      <c r="G18" s="34">
        <v>5.0000000000000001E-3</v>
      </c>
      <c r="H18" s="34">
        <v>0</v>
      </c>
      <c r="I18" s="34">
        <v>0</v>
      </c>
      <c r="J18" s="36" t="str">
        <f t="shared" si="5"/>
        <v/>
      </c>
      <c r="K18" s="33" t="s">
        <v>19</v>
      </c>
      <c r="L18" s="25">
        <f t="shared" si="6"/>
        <v>0</v>
      </c>
      <c r="M18" s="25">
        <f t="shared" si="7"/>
        <v>833.75</v>
      </c>
      <c r="N18" s="25">
        <f t="shared" si="8"/>
        <v>0</v>
      </c>
      <c r="O18" s="25">
        <f t="shared" si="9"/>
        <v>0</v>
      </c>
      <c r="P18" s="30" t="str" cm="1">
        <f t="array" ref="P18">IFERROR(IF(ISNUMBER(_xlfn.IFS(K18="RTL SPLIT",J18*D18*E18,K18="DSCR SPLIT",J18*D18,K18="TPO DSCR SPLIT",J18*D18,K18="TPO RTL SPLIT",J18*D18*E18*100)),_xlfn.IFS(K18="RTL SPLIT",J18*D18*E18,K18="DSCR SPLIT",J18*D18,K18="TPO DSCR SPLIT",J18*D18,K18="TPO RTL SPLIT",J18*D18*E18*100),""),0)</f>
        <v/>
      </c>
      <c r="Q18" s="34"/>
      <c r="R18" s="34"/>
      <c r="S18" s="25">
        <f t="shared" si="10"/>
        <v>0</v>
      </c>
      <c r="T18" s="40" cm="1">
        <f t="array" ref="T18">IFERROR(_xlfn.IFS(K18="BRIDGE",L18+S18,K18="DSCR",M18,K18="RETAIL DSCR",M18,K18="DSCR TPO",N18,K18="RTL SPLIT",P18+(S18/2),K18="DSCR SPLIT",P18,K18="TPO DSCR SPLIT",P18,K18="Bridge TPO",IF(AND(K18="BRIDGE TPO",S18&lt;0.01),O18,IF(AND(K18="Bridge TPO",$S18&gt;0,(L18+S18)&gt;(D18*0.003)),L18+S18,IF(AND(K18="Bridge TPO",$S18&gt;0,(L18+S18)&lt;(D18*0.003)),D18*0.003,0))),K18="TPO RTL SPLIT",IF(AND(K18="TPO RTL SPLIT",S18&lt;0.01),P18,IF(AND(K18="TPO RTL SPLIT",S18&gt;0,((L18/2)+(S18/2))&gt;(D18*0.0015)),(L18/2)+(S18/2),IF(AND(K18="TPO RTL SPLIT",$S18&gt;0,((L18/2)+(S18/2))&lt;(D18*0.0015)),D18*0.0015,0)))),0)</f>
        <v>833.75</v>
      </c>
      <c r="U18" s="42"/>
    </row>
    <row r="19" spans="1:21" x14ac:dyDescent="0.25">
      <c r="A19" s="31" t="s">
        <v>45</v>
      </c>
      <c r="B19" s="31" t="s">
        <v>46</v>
      </c>
      <c r="C19" s="31" t="s">
        <v>47</v>
      </c>
      <c r="D19" s="32">
        <v>387000</v>
      </c>
      <c r="E19" s="33">
        <v>0</v>
      </c>
      <c r="F19" s="34">
        <v>0.2</v>
      </c>
      <c r="G19" s="34">
        <v>0</v>
      </c>
      <c r="H19" s="34">
        <v>0</v>
      </c>
      <c r="I19" s="34">
        <v>0</v>
      </c>
      <c r="J19" s="36" t="str">
        <f t="shared" si="5"/>
        <v/>
      </c>
      <c r="K19" s="33" t="s">
        <v>33</v>
      </c>
      <c r="L19" s="25">
        <f t="shared" si="6"/>
        <v>0</v>
      </c>
      <c r="M19" s="25">
        <f t="shared" si="7"/>
        <v>0</v>
      </c>
      <c r="N19" s="25">
        <f t="shared" si="8"/>
        <v>0</v>
      </c>
      <c r="O19" s="25">
        <f t="shared" si="9"/>
        <v>0</v>
      </c>
      <c r="P19" s="30" t="str" cm="1">
        <f t="array" ref="P19">IFERROR(IF(ISNUMBER(_xlfn.IFS(K19="RTL SPLIT",J19*D19*E19,K19="DSCR SPLIT",J19*D19,K19="TPO DSCR SPLIT",J19*D19,K19="TPO RTL SPLIT",J19*D19*E19*100)),_xlfn.IFS(K19="RTL SPLIT",J19*D19*E19,K19="DSCR SPLIT",J19*D19,K19="TPO DSCR SPLIT",J19*D19,K19="TPO RTL SPLIT",J19*D19*E19*100),""),0)</f>
        <v/>
      </c>
      <c r="Q19" s="34">
        <v>8.8999999999999996E-2</v>
      </c>
      <c r="R19" s="34">
        <v>0.129</v>
      </c>
      <c r="S19" s="25">
        <f t="shared" si="10"/>
        <v>2580.5160000000005</v>
      </c>
      <c r="T19" s="40" cm="1">
        <f t="array" ref="T19">IFERROR(_xlfn.IFS(K19="BRIDGE",L19+S19,K19="DSCR",M19,K19="RETAIL DSCR",M19,K19="DSCR TPO",N19,K19="RTL SPLIT",P19+(S19/2),K19="DSCR SPLIT",P19,K19="TPO DSCR SPLIT",P19,K19="Bridge TPO",IF(AND(K19="BRIDGE TPO",S19&lt;0.01),O19,IF(AND(K19="Bridge TPO",$S19&gt;0,(L19+S19)&gt;(D19*0.003)),L19+S19,IF(AND(K19="Bridge TPO",$S19&gt;0,(L19+S19)&lt;(D19*0.003)),D19*0.003,0))),K19="TPO RTL SPLIT",IF(AND(K19="TPO RTL SPLIT",S19&lt;0.01),P19,IF(AND(K19="TPO RTL SPLIT",S19&gt;0,((L19/2)+(S19/2))&gt;(D19*0.0015)),(L19/2)+(S19/2),IF(AND(K19="TPO RTL SPLIT",$S19&gt;0,((L19/2)+(S19/2))&lt;(D19*0.0015)),D19*0.0015,0)))),0)</f>
        <v>2580.5160000000005</v>
      </c>
      <c r="U19" s="43" t="s">
        <v>66</v>
      </c>
    </row>
    <row r="20" spans="1:21" x14ac:dyDescent="0.25">
      <c r="A20" s="31" t="s">
        <v>57</v>
      </c>
      <c r="B20" s="31" t="s">
        <v>58</v>
      </c>
      <c r="C20" s="31" t="s">
        <v>59</v>
      </c>
      <c r="D20" s="32">
        <v>130000</v>
      </c>
      <c r="E20" s="33">
        <v>1.6000000000000001E-3</v>
      </c>
      <c r="F20" s="34">
        <v>0</v>
      </c>
      <c r="G20" s="34">
        <v>5.0000000000000001E-3</v>
      </c>
      <c r="H20" s="34">
        <v>0</v>
      </c>
      <c r="I20" s="34">
        <v>0</v>
      </c>
      <c r="J20" s="36" t="str">
        <f t="shared" ref="J20:J23" si="11">IF(ISNUMBER(IF(K20="RTL SPLIT",F20/2,IF(K20="DSCR SPLIT",G20/2,IF(K20="TPO RTL SPLIT",I20/2,IF(K20="TPO DSCR SPLIT",H20/2))))),IF(K20="RTL SPLIT",F20/2,IF(K20="DSCR SPLIT",G20/2,IF(K20="TPO RTL SPLIT",I20/2,IF(K20="TPO DSCR SPLIT",H20/2,0)))),"")</f>
        <v/>
      </c>
      <c r="K20" s="33" t="s">
        <v>19</v>
      </c>
      <c r="L20" s="25">
        <f t="shared" ref="L20:L23" si="12">(D20*E20)*F20</f>
        <v>0</v>
      </c>
      <c r="M20" s="25">
        <f t="shared" ref="M20:M23" si="13">D20*G20</f>
        <v>650</v>
      </c>
      <c r="N20" s="25">
        <f t="shared" ref="N20:N23" si="14">(H20*D20)</f>
        <v>0</v>
      </c>
      <c r="O20" s="25">
        <f t="shared" ref="O20:O23" si="15">(D20*I20)</f>
        <v>0</v>
      </c>
      <c r="P20" s="30" t="str" cm="1">
        <f t="array" ref="P20">IFERROR(IF(ISNUMBER(_xlfn.IFS(K20="RTL SPLIT",J20*D20*E20,K20="DSCR SPLIT",J20*D20,K20="TPO DSCR SPLIT",J20*D20,K20="TPO RTL SPLIT",J20*D20*E20*100)),_xlfn.IFS(K20="RTL SPLIT",J20*D20*E20,K20="DSCR SPLIT",J20*D20,K20="TPO DSCR SPLIT",J20*D20,K20="TPO RTL SPLIT",J20*D20*E20*100),""),0)</f>
        <v/>
      </c>
      <c r="Q20" s="34"/>
      <c r="R20" s="34"/>
      <c r="S20" s="25">
        <f t="shared" ref="S20:S23" si="16">IF(R20&gt;Q20,((R20-Q20)*D20)*0.1667,0)</f>
        <v>0</v>
      </c>
      <c r="T20" s="40" cm="1">
        <f t="array" ref="T20">IFERROR(_xlfn.IFS(K20="BRIDGE",L20+S20,K20="DSCR",M20,K20="RETAIL DSCR",M20,K20="DSCR TPO",N20,K20="RTL SPLIT",P20+(S20/2),K20="DSCR SPLIT",P20,K20="TPO DSCR SPLIT",P20,K20="Bridge TPO",IF(AND(K20="BRIDGE TPO",S20&lt;0.01),O20,IF(AND(K20="Bridge TPO",$S20&gt;0,(L20+S20)&gt;(D20*0.003)),L20+S20,IF(AND(K20="Bridge TPO",$S20&gt;0,(L20+S20)&lt;(D20*0.003)),D20*0.003,0))),K20="TPO RTL SPLIT",IF(AND(K20="TPO RTL SPLIT",S20&lt;0.01),P20,IF(AND(K20="TPO RTL SPLIT",S20&gt;0,((L20/2)+(S20/2))&gt;(D20*0.0015)),(L20/2)+(S20/2),IF(AND(K20="TPO RTL SPLIT",$S20&gt;0,((L20/2)+(S20/2))&lt;(D20*0.0015)),D20*0.0015,0)))),0)</f>
        <v>650</v>
      </c>
      <c r="U20" s="42"/>
    </row>
    <row r="21" spans="1:21" x14ac:dyDescent="0.25">
      <c r="A21" s="31" t="s">
        <v>67</v>
      </c>
      <c r="B21" s="31" t="s">
        <v>61</v>
      </c>
      <c r="C21" s="31" t="s">
        <v>62</v>
      </c>
      <c r="D21" s="32">
        <v>315000</v>
      </c>
      <c r="E21" s="33">
        <v>0.01</v>
      </c>
      <c r="F21" s="34">
        <v>0</v>
      </c>
      <c r="G21" s="34">
        <v>0</v>
      </c>
      <c r="H21" s="34">
        <v>0</v>
      </c>
      <c r="I21" s="34">
        <v>3.0000000000000001E-3</v>
      </c>
      <c r="J21" s="36" t="str">
        <f t="shared" si="11"/>
        <v/>
      </c>
      <c r="K21" s="33" t="s">
        <v>26</v>
      </c>
      <c r="L21" s="25">
        <f t="shared" si="12"/>
        <v>0</v>
      </c>
      <c r="M21" s="25">
        <f t="shared" si="13"/>
        <v>0</v>
      </c>
      <c r="N21" s="25">
        <f t="shared" si="14"/>
        <v>0</v>
      </c>
      <c r="O21" s="25">
        <f t="shared" si="15"/>
        <v>945</v>
      </c>
      <c r="P21" s="30" t="str" cm="1">
        <f t="array" ref="P21">IFERROR(IF(ISNUMBER(_xlfn.IFS(K21="RTL SPLIT",J21*D21*E21,K21="DSCR SPLIT",J21*D21,K21="TPO DSCR SPLIT",J21*D21,K21="TPO RTL SPLIT",J21*D21*E21*100)),_xlfn.IFS(K21="RTL SPLIT",J21*D21*E21,K21="DSCR SPLIT",J21*D21,K21="TPO DSCR SPLIT",J21*D21,K21="TPO RTL SPLIT",J21*D21*E21*100),""),0)</f>
        <v/>
      </c>
      <c r="Q21" s="34">
        <v>9.9000000000000005E-2</v>
      </c>
      <c r="R21" s="34">
        <v>9.9000000000000005E-2</v>
      </c>
      <c r="S21" s="25">
        <f t="shared" si="16"/>
        <v>0</v>
      </c>
      <c r="T21" s="40" cm="1">
        <f t="array" ref="T21">IFERROR(_xlfn.IFS(K21="BRIDGE",L21+S21,K21="DSCR",M21,K21="RETAIL DSCR",M21,K21="DSCR TPO",N21,K21="RTL SPLIT",P21+(S21/2),K21="DSCR SPLIT",P21,K21="TPO DSCR SPLIT",P21,K21="Bridge TPO",IF(AND(K21="BRIDGE TPO",S21&lt;0.01),O21,IF(AND(K21="Bridge TPO",$S21&gt;0,(L21+S21)&gt;(D21*0.003)),L21+S21,IF(AND(K21="Bridge TPO",$S21&gt;0,(L21+S21)&lt;(D21*0.003)),D21*0.003,0))),K21="TPO RTL SPLIT",IF(AND(K21="TPO RTL SPLIT",S21&lt;0.01),P21,IF(AND(K21="TPO RTL SPLIT",S21&gt;0,((L21/2)+(S21/2))&gt;(D21*0.0015)),(L21/2)+(S21/2),IF(AND(K21="TPO RTL SPLIT",$S21&gt;0,((L21/2)+(S21/2))&lt;(D21*0.0015)),D21*0.0015,0)))),0)</f>
        <v>945</v>
      </c>
      <c r="U21" s="42"/>
    </row>
    <row r="22" spans="1:21" x14ac:dyDescent="0.25">
      <c r="A22" s="31"/>
      <c r="B22" s="31"/>
      <c r="C22" s="31"/>
      <c r="D22" s="32"/>
      <c r="E22" s="33"/>
      <c r="F22" s="34"/>
      <c r="G22" s="34"/>
      <c r="H22" s="34"/>
      <c r="I22" s="34"/>
      <c r="J22" s="36" t="str">
        <f t="shared" si="11"/>
        <v/>
      </c>
      <c r="K22" s="33"/>
      <c r="L22" s="25">
        <f t="shared" si="12"/>
        <v>0</v>
      </c>
      <c r="M22" s="25">
        <f t="shared" si="13"/>
        <v>0</v>
      </c>
      <c r="N22" s="25">
        <f t="shared" si="14"/>
        <v>0</v>
      </c>
      <c r="O22" s="25">
        <f t="shared" si="15"/>
        <v>0</v>
      </c>
      <c r="P22" s="30" t="str" cm="1">
        <f t="array" ref="P22">IFERROR(IF(ISNUMBER(_xlfn.IFS(K22="RTL SPLIT",J22*D22*E22,K22="DSCR SPLIT",J22*D22,K22="TPO DSCR SPLIT",J22*D22,K22="TPO RTL SPLIT",J22*D22*E22*100)),_xlfn.IFS(K22="RTL SPLIT",J22*D22*E22,K22="DSCR SPLIT",J22*D22,K22="TPO DSCR SPLIT",J22*D22,K22="TPO RTL SPLIT",J22*D22*E22*100),""),0)</f>
        <v/>
      </c>
      <c r="Q22" s="34"/>
      <c r="R22" s="34"/>
      <c r="S22" s="25">
        <f t="shared" si="16"/>
        <v>0</v>
      </c>
      <c r="T22" s="40" cm="1">
        <f t="array" ref="T22">IFERROR(_xlfn.IFS(K22="BRIDGE",L22+S22,K22="DSCR",M22,K22="RETAIL DSCR",M22,K22="DSCR TPO",N22,K22="RTL SPLIT",P22+(S22/2),K22="DSCR SPLIT",P22,K22="TPO DSCR SPLIT",P22,K22="Bridge TPO",IF(AND(K22="BRIDGE TPO",S22&lt;0.01),O22,IF(AND(K22="Bridge TPO",$S22&gt;0,(L22+S22)&gt;(D22*0.003)),L22+S22,IF(AND(K22="Bridge TPO",$S22&gt;0,(L22+S22)&lt;(D22*0.003)),D22*0.003,0))),K22="TPO RTL SPLIT",IF(AND(K22="TPO RTL SPLIT",S22&lt;0.01),P22,IF(AND(K22="TPO RTL SPLIT",S22&gt;0,((L22/2)+(S22/2))&gt;(D22*0.0015)),(L22/2)+(S22/2),IF(AND(K22="TPO RTL SPLIT",$S22&gt;0,((L22/2)+(S22/2))&lt;(D22*0.0015)),D22*0.0015,0)))),0)</f>
        <v>0</v>
      </c>
      <c r="U22" s="42"/>
    </row>
    <row r="23" spans="1:21" x14ac:dyDescent="0.25">
      <c r="A23" s="31"/>
      <c r="B23" s="31"/>
      <c r="C23" s="31"/>
      <c r="D23" s="32"/>
      <c r="E23" s="33"/>
      <c r="F23" s="34"/>
      <c r="G23" s="34"/>
      <c r="H23" s="34"/>
      <c r="I23" s="34"/>
      <c r="J23" s="36" t="str">
        <f t="shared" si="11"/>
        <v/>
      </c>
      <c r="K23" s="33"/>
      <c r="L23" s="25">
        <f t="shared" si="12"/>
        <v>0</v>
      </c>
      <c r="M23" s="25">
        <f t="shared" si="13"/>
        <v>0</v>
      </c>
      <c r="N23" s="25">
        <f t="shared" si="14"/>
        <v>0</v>
      </c>
      <c r="O23" s="25">
        <f t="shared" si="15"/>
        <v>0</v>
      </c>
      <c r="P23" s="30" t="str" cm="1">
        <f t="array" ref="P23">IFERROR(IF(ISNUMBER(_xlfn.IFS(K23="RTL SPLIT",J23*D23*E23,K23="DSCR SPLIT",J23*D23,K23="TPO DSCR SPLIT",J23*D23,K23="TPO RTL SPLIT",J23*D23*E23*100)),_xlfn.IFS(K23="RTL SPLIT",J23*D23*E23,K23="DSCR SPLIT",J23*D23,K23="TPO DSCR SPLIT",J23*D23,K23="TPO RTL SPLIT",J23*D23*E23*100),""),0)</f>
        <v/>
      </c>
      <c r="Q23" s="34"/>
      <c r="R23" s="34"/>
      <c r="S23" s="25">
        <f t="shared" si="16"/>
        <v>0</v>
      </c>
      <c r="T23" s="40" cm="1">
        <f t="array" ref="T23">IFERROR(_xlfn.IFS(K23="BRIDGE",L23+S23,K23="DSCR",M23,K23="RETAIL DSCR",M23,K23="DSCR TPO",N23,K23="RTL SPLIT",P23+(S23/2),K23="DSCR SPLIT",P23,K23="TPO DSCR SPLIT",P23,K23="Bridge TPO",IF(AND(K23="BRIDGE TPO",S23&lt;0.01),O23,IF(AND(K23="Bridge TPO",$S23&gt;0,(L23+S23)&gt;(D23*0.003)),L23+S23,IF(AND(K23="Bridge TPO",$S23&gt;0,(L23+S23)&lt;(D23*0.003)),D23*0.003,0))),K23="TPO RTL SPLIT",IF(AND(K23="TPO RTL SPLIT",S23&lt;0.01),P23,IF(AND(K23="TPO RTL SPLIT",S23&gt;0,((L23/2)+(S23/2))&gt;(D23*0.0015)),(L23/2)+(S23/2),IF(AND(K23="TPO RTL SPLIT",$S23&gt;0,((L23/2)+(S23/2))&lt;(D23*0.0015)),D23*0.0015,0)))),0)</f>
        <v>0</v>
      </c>
      <c r="U23" s="42"/>
    </row>
    <row r="24" spans="1:21" ht="15.75" thickBot="1" x14ac:dyDescent="0.3">
      <c r="A24" s="27" t="s">
        <v>3</v>
      </c>
      <c r="B24" s="27"/>
      <c r="C24" s="27"/>
      <c r="D24" s="24">
        <f>SUM(D11:D23)</f>
        <v>2754600</v>
      </c>
      <c r="E24" s="28">
        <f>AVERAGE(E11:E23)</f>
        <v>4.8363636363636369E-3</v>
      </c>
      <c r="F24" s="28">
        <f>AVERAGE(F11:F23)</f>
        <v>5.4545454545454557E-2</v>
      </c>
      <c r="G24" s="28">
        <f>AVERAGE(G11:G23)</f>
        <v>2.7272727272727275E-3</v>
      </c>
      <c r="H24" s="28">
        <f>AVERAGE(H11:H23)</f>
        <v>0</v>
      </c>
      <c r="I24" s="28">
        <f>AVERAGE(I11:I23)</f>
        <v>5.4545454545454548E-4</v>
      </c>
      <c r="J24" s="28" t="e">
        <f>AVERAGE(J11:J23)</f>
        <v>#DIV/0!</v>
      </c>
      <c r="K24" s="28"/>
      <c r="L24" s="26">
        <f>SUM(L11:L23)</f>
        <v>1249.6500000000001</v>
      </c>
      <c r="M24" s="26">
        <f t="shared" ref="M24:P24" si="17">SUM(M11:M23)</f>
        <v>4966.25</v>
      </c>
      <c r="N24" s="26">
        <f t="shared" si="17"/>
        <v>0</v>
      </c>
      <c r="O24" s="26">
        <f t="shared" si="17"/>
        <v>1837.5</v>
      </c>
      <c r="P24" s="26">
        <f t="shared" si="17"/>
        <v>0</v>
      </c>
      <c r="Q24" s="26"/>
      <c r="R24" s="26"/>
      <c r="S24" s="26">
        <f t="shared" ref="S24" si="18">SUM(S11:S23)</f>
        <v>5155.7809500000012</v>
      </c>
      <c r="T24" s="26">
        <f t="shared" ref="T24" si="19">SUM(T11:T23)</f>
        <v>13209.180950000002</v>
      </c>
    </row>
    <row r="25" spans="1:21" x14ac:dyDescent="0.25">
      <c r="G25" s="16"/>
      <c r="H25" s="16"/>
      <c r="I25" s="16"/>
      <c r="J25" s="16"/>
      <c r="L25" s="17"/>
      <c r="M25" s="17"/>
      <c r="N25" s="17"/>
      <c r="O25" s="17"/>
      <c r="P25" s="17"/>
      <c r="Q25" s="17"/>
      <c r="R25" s="17"/>
      <c r="S25" s="17"/>
    </row>
    <row r="26" spans="1:21" x14ac:dyDescent="0.25">
      <c r="A26" s="1" t="s">
        <v>5</v>
      </c>
      <c r="B26" s="1"/>
      <c r="C26" s="1"/>
      <c r="D26" s="1" t="s">
        <v>10</v>
      </c>
      <c r="E26" s="1" t="s">
        <v>11</v>
      </c>
    </row>
    <row r="27" spans="1:21" x14ac:dyDescent="0.25">
      <c r="A27" s="6"/>
      <c r="B27" s="6"/>
      <c r="C27" s="6"/>
      <c r="E27"/>
      <c r="F27" s="6"/>
      <c r="G27" s="3"/>
      <c r="H27" s="3"/>
      <c r="I27" s="3"/>
      <c r="J27" s="3"/>
      <c r="K27" s="6"/>
      <c r="L27" s="7"/>
      <c r="M27" s="7"/>
      <c r="N27" s="7"/>
      <c r="O27" s="7"/>
      <c r="P27" s="7"/>
      <c r="Q27" s="7"/>
      <c r="R27" s="7"/>
      <c r="S27" s="7"/>
      <c r="T27" s="6"/>
    </row>
  </sheetData>
  <mergeCells count="4">
    <mergeCell ref="A3:D3"/>
    <mergeCell ref="A2:D2"/>
    <mergeCell ref="A1:D1"/>
    <mergeCell ref="C5:E8"/>
  </mergeCells>
  <hyperlinks>
    <hyperlink ref="A8" r:id="rId1" xr:uid="{0613BFD4-1691-064F-866B-914DBC12950A}"/>
  </hyperlinks>
  <pageMargins left="0.7" right="0.7" top="0.75" bottom="0.75" header="0.3" footer="0.3"/>
  <pageSetup scale="77" orientation="portrait"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4FD5597-458E-4DF7-819A-F9F520B596C4}">
          <x14:formula1>
            <xm:f>Data!$B$2:$B$30</xm:f>
          </x14:formula1>
          <xm:sqref>K11:K18 K20:K23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DADD-2F19-4013-88F1-56BE36A03905}">
  <dimension ref="B2:B30"/>
  <sheetViews>
    <sheetView workbookViewId="0">
      <selection activeCell="B12" sqref="B11:B12"/>
    </sheetView>
  </sheetViews>
  <sheetFormatPr defaultColWidth="8.5703125" defaultRowHeight="15" x14ac:dyDescent="0.25"/>
  <cols>
    <col min="2" max="2" width="14" bestFit="1" customWidth="1"/>
  </cols>
  <sheetData>
    <row r="2" spans="2:2" x14ac:dyDescent="0.25">
      <c r="B2" s="39" t="s">
        <v>33</v>
      </c>
    </row>
    <row r="3" spans="2:2" x14ac:dyDescent="0.25">
      <c r="B3" s="39" t="s">
        <v>26</v>
      </c>
    </row>
    <row r="4" spans="2:2" x14ac:dyDescent="0.25">
      <c r="B4" s="39" t="s">
        <v>30</v>
      </c>
    </row>
    <row r="5" spans="2:2" x14ac:dyDescent="0.25">
      <c r="B5" s="39" t="s">
        <v>31</v>
      </c>
    </row>
    <row r="6" spans="2:2" x14ac:dyDescent="0.25">
      <c r="B6" s="39" t="s">
        <v>19</v>
      </c>
    </row>
    <row r="7" spans="2:2" x14ac:dyDescent="0.25">
      <c r="B7" s="39" t="s">
        <v>37</v>
      </c>
    </row>
    <row r="8" spans="2:2" x14ac:dyDescent="0.25">
      <c r="B8" s="39" t="s">
        <v>25</v>
      </c>
    </row>
    <row r="9" spans="2:2" x14ac:dyDescent="0.25">
      <c r="B9" s="39" t="s">
        <v>29</v>
      </c>
    </row>
    <row r="10" spans="2:2" x14ac:dyDescent="0.25">
      <c r="B10" s="39" t="s">
        <v>32</v>
      </c>
    </row>
    <row r="11" spans="2:2" x14ac:dyDescent="0.25">
      <c r="B11" s="39"/>
    </row>
    <row r="12" spans="2:2" x14ac:dyDescent="0.25">
      <c r="B12" s="39"/>
    </row>
    <row r="13" spans="2:2" x14ac:dyDescent="0.25">
      <c r="B13" s="39"/>
    </row>
    <row r="14" spans="2:2" x14ac:dyDescent="0.25">
      <c r="B14" s="39"/>
    </row>
    <row r="15" spans="2:2" x14ac:dyDescent="0.25">
      <c r="B15" s="39"/>
    </row>
    <row r="16" spans="2:2" x14ac:dyDescent="0.25">
      <c r="B16" s="39"/>
    </row>
    <row r="17" spans="2:2" x14ac:dyDescent="0.25">
      <c r="B17" s="39"/>
    </row>
    <row r="18" spans="2:2" x14ac:dyDescent="0.25">
      <c r="B18" s="39"/>
    </row>
    <row r="19" spans="2:2" x14ac:dyDescent="0.25">
      <c r="B19" s="39"/>
    </row>
    <row r="20" spans="2:2" x14ac:dyDescent="0.25">
      <c r="B20" s="39"/>
    </row>
    <row r="21" spans="2:2" x14ac:dyDescent="0.25">
      <c r="B21" s="39"/>
    </row>
    <row r="22" spans="2:2" x14ac:dyDescent="0.25">
      <c r="B22" s="39"/>
    </row>
    <row r="23" spans="2:2" x14ac:dyDescent="0.25">
      <c r="B23" s="39"/>
    </row>
    <row r="24" spans="2:2" x14ac:dyDescent="0.25">
      <c r="B24" s="39"/>
    </row>
    <row r="25" spans="2:2" x14ac:dyDescent="0.25">
      <c r="B25" s="39"/>
    </row>
    <row r="26" spans="2:2" x14ac:dyDescent="0.25">
      <c r="B26" s="39"/>
    </row>
    <row r="27" spans="2:2" x14ac:dyDescent="0.25">
      <c r="B27" s="39"/>
    </row>
    <row r="28" spans="2:2" x14ac:dyDescent="0.25">
      <c r="B28" s="39"/>
    </row>
    <row r="29" spans="2:2" x14ac:dyDescent="0.25">
      <c r="B29" s="39"/>
    </row>
    <row r="30" spans="2:2" x14ac:dyDescent="0.25">
      <c r="B3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Commission Request</vt:lpstr>
      <vt:lpstr>Data</vt:lpstr>
      <vt:lpstr>'Commission Request'!Print_Area</vt:lpstr>
    </vt:vector>
  </TitlesOfParts>
  <Company>myitpros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Smith</dc:creator>
  <cp:lastModifiedBy>Riley Bishop</cp:lastModifiedBy>
  <cp:lastPrinted>2017-01-04T22:11:17Z</cp:lastPrinted>
  <dcterms:created xsi:type="dcterms:W3CDTF">2016-11-21T20:15:55Z</dcterms:created>
  <dcterms:modified xsi:type="dcterms:W3CDTF">2025-11-25T19:58:00Z</dcterms:modified>
</cp:coreProperties>
</file>