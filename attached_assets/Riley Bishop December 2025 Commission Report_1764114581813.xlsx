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easystreetcapitol-my.sharepoint.com/personal/rileyb_easystreetcap_com/Documents/Desktop/3. Commission &amp; Expense Reports/1. Commission Reports/"/>
    </mc:Choice>
  </mc:AlternateContent>
  <xr:revisionPtr revIDLastSave="2" documentId="8_{77F499A9-0955-4A61-9D92-872F80ACC91E}" xr6:coauthVersionLast="47" xr6:coauthVersionMax="47" xr10:uidLastSave="{D50E6ACC-460F-4469-98D5-FBF7375D5A72}"/>
  <bookViews>
    <workbookView xWindow="13740" yWindow="-16320" windowWidth="29040" windowHeight="15720" xr2:uid="{00000000-000D-0000-FFFF-FFFF00000000}"/>
  </bookViews>
  <sheets>
    <sheet name="Commission Request" sheetId="1" r:id="rId1"/>
    <sheet name="Data" sheetId="2" state="hidden" r:id="rId2"/>
  </sheets>
  <definedNames>
    <definedName name="_xlnm.Print_Area" localSheetId="0">'Commission Request'!$A$1:$U$39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21" i="1" l="1"/>
  <c r="D21" i="1" l="1"/>
  <c r="D15" i="1"/>
  <c r="M21" i="1" l="1"/>
  <c r="N21" i="1"/>
  <c r="L21" i="1"/>
  <c r="O21" i="1"/>
  <c r="P21" i="1" a="1"/>
  <c r="P21" i="1" s="1"/>
  <c r="T21" i="1" s="1" a="1"/>
  <c r="T21" i="1" s="1"/>
  <c r="S12" i="1"/>
  <c r="S13" i="1"/>
  <c r="L12" i="1"/>
  <c r="M12" i="1"/>
  <c r="N12" i="1"/>
  <c r="O12" i="1"/>
  <c r="P12" i="1" a="1"/>
  <c r="P12" i="1" s="1"/>
  <c r="L13" i="1"/>
  <c r="M13" i="1"/>
  <c r="N13" i="1"/>
  <c r="O13" i="1"/>
  <c r="P13" i="1" a="1"/>
  <c r="P13" i="1" s="1"/>
  <c r="T13" i="1" l="1" a="1"/>
  <c r="T13" i="1" s="1"/>
  <c r="T12" i="1" a="1"/>
  <c r="T12" i="1" s="1"/>
  <c r="S19" i="1"/>
  <c r="S20" i="1"/>
  <c r="S18" i="1"/>
  <c r="S17" i="1"/>
  <c r="S11" i="1"/>
  <c r="S15" i="1"/>
  <c r="S14" i="1"/>
  <c r="S16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J19" i="1"/>
  <c r="P19" i="1" s="1" a="1"/>
  <c r="P19" i="1" s="1"/>
  <c r="J20" i="1"/>
  <c r="P20" i="1" s="1" a="1"/>
  <c r="P20" i="1" s="1"/>
  <c r="J18" i="1"/>
  <c r="P18" i="1" s="1" a="1"/>
  <c r="P18" i="1" s="1"/>
  <c r="J17" i="1"/>
  <c r="P17" i="1" s="1" a="1"/>
  <c r="P17" i="1" s="1"/>
  <c r="J11" i="1"/>
  <c r="P11" i="1" s="1" a="1"/>
  <c r="P11" i="1" s="1"/>
  <c r="J15" i="1"/>
  <c r="P15" i="1" s="1" a="1"/>
  <c r="P15" i="1" s="1"/>
  <c r="J14" i="1"/>
  <c r="P14" i="1" s="1" a="1"/>
  <c r="P14" i="1" s="1"/>
  <c r="J16" i="1"/>
  <c r="P16" i="1" s="1" a="1"/>
  <c r="P16" i="1" s="1"/>
  <c r="J22" i="1"/>
  <c r="P22" i="1" s="1" a="1"/>
  <c r="P22" i="1" s="1"/>
  <c r="J23" i="1"/>
  <c r="P23" i="1" s="1" a="1"/>
  <c r="P23" i="1" s="1"/>
  <c r="J24" i="1"/>
  <c r="P24" i="1" s="1" a="1"/>
  <c r="P24" i="1" s="1"/>
  <c r="J25" i="1"/>
  <c r="P25" i="1" s="1" a="1"/>
  <c r="P25" i="1" s="1"/>
  <c r="J26" i="1"/>
  <c r="P26" i="1" s="1" a="1"/>
  <c r="P26" i="1" s="1"/>
  <c r="J27" i="1"/>
  <c r="P27" i="1" s="1" a="1"/>
  <c r="P27" i="1" s="1"/>
  <c r="J28" i="1"/>
  <c r="P28" i="1" s="1" a="1"/>
  <c r="P28" i="1" s="1"/>
  <c r="J29" i="1"/>
  <c r="P29" i="1" s="1" a="1"/>
  <c r="P29" i="1" s="1"/>
  <c r="J30" i="1"/>
  <c r="P30" i="1" s="1" a="1"/>
  <c r="P30" i="1" s="1"/>
  <c r="J31" i="1"/>
  <c r="P31" i="1" s="1" a="1"/>
  <c r="P31" i="1" s="1"/>
  <c r="J32" i="1"/>
  <c r="P32" i="1" s="1" a="1"/>
  <c r="P32" i="1" s="1"/>
  <c r="J33" i="1"/>
  <c r="P33" i="1" s="1" a="1"/>
  <c r="P33" i="1" s="1"/>
  <c r="J34" i="1"/>
  <c r="P34" i="1" s="1" a="1"/>
  <c r="P34" i="1" s="1"/>
  <c r="J35" i="1"/>
  <c r="P35" i="1" s="1" a="1"/>
  <c r="P35" i="1" s="1"/>
  <c r="M19" i="1" l="1"/>
  <c r="M20" i="1"/>
  <c r="M18" i="1"/>
  <c r="M17" i="1"/>
  <c r="M11" i="1"/>
  <c r="M15" i="1"/>
  <c r="M14" i="1"/>
  <c r="M16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L19" i="1"/>
  <c r="N19" i="1"/>
  <c r="O19" i="1"/>
  <c r="L20" i="1"/>
  <c r="N20" i="1"/>
  <c r="O20" i="1"/>
  <c r="L18" i="1"/>
  <c r="N18" i="1"/>
  <c r="O18" i="1"/>
  <c r="L17" i="1"/>
  <c r="T17" i="1" s="1" a="1"/>
  <c r="T17" i="1" s="1"/>
  <c r="N17" i="1"/>
  <c r="O17" i="1"/>
  <c r="L11" i="1"/>
  <c r="N11" i="1"/>
  <c r="O11" i="1"/>
  <c r="L15" i="1"/>
  <c r="T15" i="1" s="1" a="1"/>
  <c r="T15" i="1" s="1"/>
  <c r="N15" i="1"/>
  <c r="O15" i="1"/>
  <c r="L14" i="1"/>
  <c r="N14" i="1"/>
  <c r="O14" i="1"/>
  <c r="L16" i="1"/>
  <c r="N16" i="1"/>
  <c r="O16" i="1"/>
  <c r="L22" i="1"/>
  <c r="T22" i="1" s="1" a="1"/>
  <c r="T22" i="1" s="1"/>
  <c r="N22" i="1"/>
  <c r="O22" i="1"/>
  <c r="L23" i="1"/>
  <c r="T23" i="1" s="1" a="1"/>
  <c r="T23" i="1" s="1"/>
  <c r="N23" i="1"/>
  <c r="O23" i="1"/>
  <c r="L24" i="1"/>
  <c r="T24" i="1" s="1" a="1"/>
  <c r="T24" i="1" s="1"/>
  <c r="N24" i="1"/>
  <c r="O24" i="1"/>
  <c r="L25" i="1"/>
  <c r="T25" i="1" s="1" a="1"/>
  <c r="T25" i="1" s="1"/>
  <c r="N25" i="1"/>
  <c r="O25" i="1"/>
  <c r="L26" i="1"/>
  <c r="T26" i="1" s="1" a="1"/>
  <c r="T26" i="1" s="1"/>
  <c r="N26" i="1"/>
  <c r="O26" i="1"/>
  <c r="L27" i="1"/>
  <c r="T27" i="1" s="1" a="1"/>
  <c r="T27" i="1" s="1"/>
  <c r="N27" i="1"/>
  <c r="O27" i="1"/>
  <c r="L28" i="1"/>
  <c r="T28" i="1" s="1" a="1"/>
  <c r="T28" i="1" s="1"/>
  <c r="N28" i="1"/>
  <c r="O28" i="1"/>
  <c r="L29" i="1"/>
  <c r="T29" i="1" s="1" a="1"/>
  <c r="T29" i="1" s="1"/>
  <c r="N29" i="1"/>
  <c r="O29" i="1"/>
  <c r="L30" i="1"/>
  <c r="T30" i="1" s="1" a="1"/>
  <c r="T30" i="1" s="1"/>
  <c r="N30" i="1"/>
  <c r="O30" i="1"/>
  <c r="L31" i="1"/>
  <c r="T31" i="1" s="1" a="1"/>
  <c r="T31" i="1" s="1"/>
  <c r="N31" i="1"/>
  <c r="O31" i="1"/>
  <c r="L32" i="1"/>
  <c r="T32" i="1" s="1" a="1"/>
  <c r="T32" i="1" s="1"/>
  <c r="N32" i="1"/>
  <c r="O32" i="1"/>
  <c r="L33" i="1"/>
  <c r="T33" i="1" s="1" a="1"/>
  <c r="T33" i="1" s="1"/>
  <c r="N33" i="1"/>
  <c r="O33" i="1"/>
  <c r="L34" i="1"/>
  <c r="T34" i="1" s="1" a="1"/>
  <c r="T34" i="1" s="1"/>
  <c r="N34" i="1"/>
  <c r="O34" i="1"/>
  <c r="L35" i="1"/>
  <c r="T35" i="1" s="1" a="1"/>
  <c r="T35" i="1" s="1"/>
  <c r="N35" i="1"/>
  <c r="O35" i="1"/>
  <c r="T16" i="1" l="1" a="1"/>
  <c r="T16" i="1" s="1"/>
  <c r="T14" i="1" a="1"/>
  <c r="T14" i="1" s="1"/>
  <c r="T20" i="1" a="1"/>
  <c r="T20" i="1" s="1"/>
  <c r="T11" i="1" a="1"/>
  <c r="T11" i="1" s="1"/>
  <c r="T18" i="1" a="1"/>
  <c r="T18" i="1" s="1"/>
  <c r="T19" i="1" a="1"/>
  <c r="T19" i="1" s="1"/>
  <c r="O36" i="1"/>
  <c r="P36" i="1"/>
  <c r="J36" i="1"/>
  <c r="F36" i="1"/>
  <c r="G36" i="1"/>
  <c r="H36" i="1"/>
  <c r="E36" i="1"/>
  <c r="T36" i="1" l="1"/>
  <c r="M36" i="1"/>
  <c r="L36" i="1"/>
  <c r="D36" i="1"/>
  <c r="N3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<sst xmlns="http://schemas.openxmlformats.org/spreadsheetml/2006/main" count="92" uniqueCount="78">
  <si>
    <t>Invoice</t>
  </si>
  <si>
    <t>Bill To</t>
  </si>
  <si>
    <t>Property</t>
  </si>
  <si>
    <t xml:space="preserve">Total </t>
  </si>
  <si>
    <t>Easy Street Capital</t>
  </si>
  <si>
    <t>Please remit payment to:</t>
  </si>
  <si>
    <t>Loan Amount</t>
  </si>
  <si>
    <t xml:space="preserve">                                                                                                                                                      </t>
  </si>
  <si>
    <t>Points</t>
  </si>
  <si>
    <t xml:space="preserve">Total Commission </t>
  </si>
  <si>
    <t>Account Number</t>
  </si>
  <si>
    <t xml:space="preserve">Wire Routing Number </t>
  </si>
  <si>
    <t>Borrower Name</t>
  </si>
  <si>
    <t>Borrower Email</t>
  </si>
  <si>
    <t>Bridge Commission Rate</t>
  </si>
  <si>
    <t>DSCR Commission Rate</t>
  </si>
  <si>
    <t>Bridge Commission</t>
  </si>
  <si>
    <t>DSCR/Bridge</t>
  </si>
  <si>
    <t>DSCR Commission</t>
  </si>
  <si>
    <t>DSCR</t>
  </si>
  <si>
    <t>Split</t>
  </si>
  <si>
    <t>DSCR TPO Commission Rate</t>
  </si>
  <si>
    <t>Bridge TPO Commission Rate</t>
  </si>
  <si>
    <t>DSCR TPO Commission</t>
  </si>
  <si>
    <t>Bridge TPO Commission</t>
  </si>
  <si>
    <t>DSCR TPO</t>
  </si>
  <si>
    <t>BRIDGE TPO</t>
  </si>
  <si>
    <t>Collin@easystreetcap.com</t>
  </si>
  <si>
    <t>ATTN: Collin Duffy</t>
  </si>
  <si>
    <t>DSCR SPLIT</t>
  </si>
  <si>
    <t>RTL SPLIT</t>
  </si>
  <si>
    <t>TPO RTL SPLIT</t>
  </si>
  <si>
    <t>TPO DSCR SPLIT</t>
  </si>
  <si>
    <t>BRIDGE</t>
  </si>
  <si>
    <t>Note:</t>
  </si>
  <si>
    <t>(Drop down List)</t>
  </si>
  <si>
    <t>Enter AE's Name</t>
  </si>
  <si>
    <t>RETAIL DSCR</t>
  </si>
  <si>
    <t>Upsell Commission</t>
  </si>
  <si>
    <t>(Upsell Only) 
RTL Note Rate</t>
  </si>
  <si>
    <t>(Upsell Only) 
RTL Base Rate</t>
  </si>
  <si>
    <t>Notes</t>
  </si>
  <si>
    <t>(Add a note if there are manual edits)</t>
  </si>
  <si>
    <r>
      <t xml:space="preserve">Please fill in all necessary cells highlighted in grey below. If more rows are required, please drag down all formulas in Columns J and L - T to the right after adding the additional rows. </t>
    </r>
    <r>
      <rPr>
        <b/>
        <sz val="11"/>
        <color rgb="FFFF0000"/>
        <rFont val="Calibri"/>
        <family val="2"/>
      </rPr>
      <t>Please add a note in Column U if there are any manual edits which break from formula results.</t>
    </r>
  </si>
  <si>
    <t>October Commissions</t>
  </si>
  <si>
    <t>901 45th St, Birmingham, AL 35208</t>
  </si>
  <si>
    <t>Angela Henry</t>
  </si>
  <si>
    <t>royalpsllc2015@gmail.com</t>
  </si>
  <si>
    <t>Anthony Heil</t>
  </si>
  <si>
    <t>aj.heil.wi@gmail.com</t>
  </si>
  <si>
    <t>Riley Bishop</t>
  </si>
  <si>
    <t>LOT 6 View Point Rd, Highlands, NC 28741</t>
  </si>
  <si>
    <t>LOT 7 View Point Rd, Highlands, NC 28741</t>
  </si>
  <si>
    <t>Gary Winston</t>
  </si>
  <si>
    <t>gary.winston@yahoo.com</t>
  </si>
  <si>
    <t>4643 Wyandotte Dr, Columbus, OH 43230</t>
  </si>
  <si>
    <t>Daniel Finley</t>
  </si>
  <si>
    <t>cbus4corners@gmail.com</t>
  </si>
  <si>
    <t>1101 Bowling Dr, Bedford, VA 24523</t>
  </si>
  <si>
    <t>Terry Dooley</t>
  </si>
  <si>
    <t>terry.dooley@dynastyhomesnow.com</t>
  </si>
  <si>
    <t>5605 N Pinegrove Dr, Coeur D Alene, ID 83815</t>
  </si>
  <si>
    <t>43559 Pueblo Street, Indio, CA, 92203</t>
  </si>
  <si>
    <t>Repeat ESC borrower</t>
  </si>
  <si>
    <t>Enrique Castro</t>
  </si>
  <si>
    <t>mario@the24houragent.com</t>
  </si>
  <si>
    <t>5760 Penfield Pl, Atlanta, GA 30349</t>
  </si>
  <si>
    <t>Kazi Ahmed</t>
  </si>
  <si>
    <t>safenestassets@gmail.com</t>
  </si>
  <si>
    <t>1302 N Highland Ave, Pittsburgh, PA 15206</t>
  </si>
  <si>
    <t>Wayne Chang</t>
  </si>
  <si>
    <t>wayne@tmdholdings.com</t>
  </si>
  <si>
    <t>51 Garden St, Poughkeepsie, NY 12601</t>
  </si>
  <si>
    <t>Edward Dolfinger</t>
  </si>
  <si>
    <t>logandolfinger98@gmail.com</t>
  </si>
  <si>
    <t>8733 E Amelia Ave, Scottsdale, AZ, 85251</t>
  </si>
  <si>
    <t>Ann Urias</t>
  </si>
  <si>
    <t>ocbrokerann@gmail.com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</si>
</sst>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Date of Invoice: &quot;\ \ mm/dd/yyyy\ "/>
    <numFmt numFmtId="166" formatCode="&quot;$&quot;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595959"/>
      <name val="Cambria"/>
      <family val="1"/>
    </font>
    <font>
      <sz val="14"/>
      <color rgb="FFFFFFFF"/>
      <name val="Calibri"/>
      <family val="2"/>
    </font>
    <font>
      <b/>
      <sz val="14"/>
      <color rgb="FF7E97AD"/>
      <name val="Calibri"/>
      <family val="2"/>
    </font>
    <font>
      <sz val="10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20"/>
      <color rgb="FFFFFFFF"/>
      <name val="Calibri"/>
      <family val="2"/>
    </font>
    <font>
      <sz val="9"/>
      <color rgb="FFFFFFFF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10"/>
      <color rgb="FFFF0000"/>
      <name val="Calibri"/>
      <family val="2"/>
      <scheme val="minor"/>
    </font>
    <font>
      <b/>
      <sz val="11"/>
      <color rgb="FF7E97AD"/>
      <name val="Calibri"/>
      <family val="2"/>
    </font>
    <font>
      <sz val="10"/>
      <color rgb="FFFF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7E97A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7E97AD"/>
      </bottom>
      <diagonal/>
    </border>
    <border>
      <left/>
      <right/>
      <top/>
      <bottom style="medium">
        <color rgb="FFD9D9D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10" fontId="2" fillId="0" borderId="0" xfId="2" applyNumberFormat="1" applyFont="1" applyAlignment="1">
      <alignment horizontal="center" vertical="center" wrapText="1"/>
    </xf>
    <xf numFmtId="0" fontId="6" fillId="0" borderId="0" xfId="3" applyAlignment="1">
      <alignment vertical="center"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44" fontId="2" fillId="0" borderId="0" xfId="1" applyFont="1" applyAlignment="1">
      <alignment horizontal="center" vertical="center" wrapText="1"/>
    </xf>
    <xf numFmtId="44" fontId="0" fillId="0" borderId="0" xfId="1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0" fontId="8" fillId="2" borderId="0" xfId="2" applyNumberFormat="1" applyFont="1" applyFill="1" applyAlignment="1" applyProtection="1">
      <alignment horizontal="center" vertical="center" wrapText="1"/>
    </xf>
    <xf numFmtId="44" fontId="8" fillId="2" borderId="0" xfId="1" applyFont="1" applyFill="1" applyAlignment="1" applyProtection="1">
      <alignment horizontal="center" vertical="center" wrapText="1"/>
    </xf>
    <xf numFmtId="10" fontId="9" fillId="2" borderId="0" xfId="2" applyNumberFormat="1" applyFont="1" applyFill="1" applyAlignment="1" applyProtection="1">
      <alignment horizontal="center" wrapText="1"/>
    </xf>
    <xf numFmtId="165" fontId="9" fillId="2" borderId="0" xfId="0" applyNumberFormat="1" applyFont="1" applyFill="1" applyAlignment="1">
      <alignment horizontal="center" wrapText="1"/>
    </xf>
    <xf numFmtId="44" fontId="9" fillId="2" borderId="0" xfId="1" applyFont="1" applyFill="1" applyAlignment="1" applyProtection="1">
      <alignment horizontal="center" wrapText="1"/>
    </xf>
    <xf numFmtId="10" fontId="0" fillId="0" borderId="0" xfId="2" applyNumberFormat="1" applyFont="1" applyAlignment="1" applyProtection="1">
      <alignment horizontal="center"/>
    </xf>
    <xf numFmtId="44" fontId="0" fillId="0" borderId="0" xfId="1" applyFont="1" applyAlignment="1" applyProtection="1">
      <alignment horizontal="center"/>
    </xf>
    <xf numFmtId="0" fontId="6" fillId="0" borderId="0" xfId="3" applyAlignment="1" applyProtection="1">
      <alignment vertical="center" wrapText="1"/>
    </xf>
    <xf numFmtId="10" fontId="7" fillId="0" borderId="0" xfId="2" applyNumberFormat="1" applyFont="1" applyAlignment="1" applyProtection="1">
      <alignment wrapText="1"/>
    </xf>
    <xf numFmtId="44" fontId="7" fillId="0" borderId="0" xfId="1" applyFont="1" applyAlignment="1" applyProtection="1">
      <alignment wrapText="1"/>
    </xf>
    <xf numFmtId="0" fontId="5" fillId="2" borderId="2" xfId="0" applyFont="1" applyFill="1" applyBorder="1" applyAlignment="1">
      <alignment horizontal="center" vertical="center" wrapText="1"/>
    </xf>
    <xf numFmtId="10" fontId="5" fillId="2" borderId="2" xfId="2" applyNumberFormat="1" applyFont="1" applyFill="1" applyBorder="1" applyAlignment="1" applyProtection="1">
      <alignment horizontal="center" vertical="center" wrapText="1"/>
    </xf>
    <xf numFmtId="44" fontId="5" fillId="2" borderId="2" xfId="1" applyFont="1" applyFill="1" applyBorder="1" applyAlignment="1" applyProtection="1">
      <alignment horizontal="center" vertical="center" wrapText="1"/>
    </xf>
    <xf numFmtId="164" fontId="5" fillId="2" borderId="2" xfId="0" applyNumberFormat="1" applyFont="1" applyFill="1" applyBorder="1" applyAlignment="1">
      <alignment horizontal="left" vertical="center" wrapText="1"/>
    </xf>
    <xf numFmtId="44" fontId="2" fillId="0" borderId="0" xfId="1" applyFont="1" applyAlignment="1" applyProtection="1">
      <alignment horizontal="center" vertical="center" wrapText="1"/>
    </xf>
    <xf numFmtId="44" fontId="5" fillId="2" borderId="2" xfId="0" applyNumberFormat="1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10" fontId="5" fillId="2" borderId="2" xfId="0" applyNumberFormat="1" applyFont="1" applyFill="1" applyBorder="1" applyAlignment="1">
      <alignment horizontal="left" vertical="center" wrapText="1"/>
    </xf>
    <xf numFmtId="165" fontId="9" fillId="2" borderId="0" xfId="0" applyNumberFormat="1" applyFont="1" applyFill="1" applyAlignment="1" applyProtection="1">
      <alignment horizontal="center" wrapText="1"/>
      <protection locked="0"/>
    </xf>
    <xf numFmtId="166" fontId="2" fillId="0" borderId="0" xfId="1" applyNumberFormat="1" applyFont="1" applyAlignment="1" applyProtection="1">
      <alignment horizontal="center" vertical="center" wrapText="1"/>
    </xf>
    <xf numFmtId="0" fontId="2" fillId="3" borderId="0" xfId="0" applyFont="1" applyFill="1" applyAlignment="1" applyProtection="1">
      <alignment vertical="center" wrapText="1"/>
      <protection locked="0"/>
    </xf>
    <xf numFmtId="44" fontId="2" fillId="3" borderId="0" xfId="1" applyFont="1" applyFill="1" applyAlignment="1" applyProtection="1">
      <alignment vertical="center" wrapText="1"/>
      <protection locked="0"/>
    </xf>
    <xf numFmtId="10" fontId="2" fillId="3" borderId="0" xfId="2" applyNumberFormat="1" applyFont="1" applyFill="1" applyAlignment="1" applyProtection="1">
      <alignment horizontal="center" vertical="center" wrapText="1"/>
      <protection locked="0"/>
    </xf>
    <xf numFmtId="10" fontId="2" fillId="3" borderId="0" xfId="2" applyNumberFormat="1" applyFont="1" applyFill="1" applyAlignment="1" applyProtection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10" fontId="2" fillId="0" borderId="0" xfId="2" applyNumberFormat="1" applyFont="1" applyFill="1" applyAlignment="1" applyProtection="1">
      <alignment horizontal="center" vertical="center" wrapText="1"/>
    </xf>
    <xf numFmtId="0" fontId="13" fillId="0" borderId="0" xfId="0" applyFont="1" applyAlignment="1">
      <alignment horizontal="center" wrapText="1"/>
    </xf>
    <xf numFmtId="0" fontId="14" fillId="0" borderId="1" xfId="0" applyFont="1" applyBorder="1" applyAlignment="1">
      <alignment vertical="center" wrapText="1"/>
    </xf>
    <xf numFmtId="0" fontId="0" fillId="4" borderId="0" xfId="0" applyFill="1"/>
    <xf numFmtId="44" fontId="2" fillId="0" borderId="0" xfId="1" quotePrefix="1" applyFont="1" applyAlignment="1" applyProtection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1" applyNumberFormat="1" applyFont="1" applyAlignment="1">
      <alignment horizontal="left" wrapText="1"/>
    </xf>
    <xf numFmtId="0" fontId="15" fillId="0" borderId="0" xfId="1" applyNumberFormat="1" applyFont="1" applyAlignment="1">
      <alignment horizontal="left" wrapText="1"/>
    </xf>
    <xf numFmtId="0" fontId="6" fillId="3" borderId="0" xfId="3" applyFill="1" applyAlignment="1" applyProtection="1">
      <alignment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top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llin@easystreetca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showGridLines="0" tabSelected="1" topLeftCell="E2" zoomScale="85" zoomScaleNormal="85" zoomScaleSheetLayoutView="100" workbookViewId="0">
      <selection activeCell="D20" sqref="D20"/>
    </sheetView>
  </sheetViews>
  <sheetFormatPr defaultColWidth="8.5703125" defaultRowHeight="15" x14ac:dyDescent="0.25"/>
  <cols>
    <col min="1" max="1" width="42" customWidth="1"/>
    <col min="2" max="2" width="25.42578125" customWidth="1"/>
    <col min="3" max="3" width="31.42578125" customWidth="1"/>
    <col min="4" max="4" width="17.5703125" customWidth="1"/>
    <col min="5" max="5" width="21" style="2" bestFit="1" customWidth="1"/>
    <col min="6" max="6" width="23.42578125" style="2" bestFit="1" customWidth="1"/>
    <col min="7" max="9" width="20.42578125" style="9" customWidth="1"/>
    <col min="10" max="10" width="15.28515625" style="9" customWidth="1"/>
    <col min="11" max="11" width="14.5703125" style="2" customWidth="1"/>
    <col min="12" max="19" width="16.5703125" style="8" customWidth="1"/>
    <col min="20" max="20" width="18.42578125" style="2" customWidth="1"/>
    <col min="21" max="21" width="34.42578125" style="41" bestFit="1" customWidth="1"/>
  </cols>
  <sheetData>
    <row r="1" spans="1:21" ht="24" customHeight="1" x14ac:dyDescent="0.25">
      <c r="A1" s="47" t="s">
        <v>36</v>
      </c>
      <c r="B1" s="47"/>
      <c r="C1" s="47"/>
      <c r="D1" s="47"/>
      <c r="E1" s="10"/>
      <c r="F1" s="10" t="s">
        <v>0</v>
      </c>
      <c r="G1" s="11"/>
      <c r="H1" s="11"/>
      <c r="I1" s="11"/>
      <c r="J1" s="11"/>
      <c r="K1" s="10"/>
      <c r="L1" s="12"/>
      <c r="M1" s="12"/>
      <c r="N1" s="12"/>
      <c r="O1" s="12"/>
      <c r="P1" s="12"/>
      <c r="Q1" s="12"/>
      <c r="R1" s="12"/>
      <c r="S1" s="12"/>
      <c r="T1" s="10"/>
      <c r="U1" s="10"/>
    </row>
    <row r="2" spans="1:21" ht="21.75" customHeight="1" x14ac:dyDescent="0.25">
      <c r="A2" s="46" t="s">
        <v>50</v>
      </c>
      <c r="B2" s="46"/>
      <c r="C2" s="46"/>
      <c r="D2" s="46"/>
      <c r="E2" s="10"/>
      <c r="F2" s="10"/>
      <c r="G2" s="11"/>
      <c r="H2" s="11"/>
      <c r="I2" s="11"/>
      <c r="J2" s="11"/>
      <c r="K2" s="10"/>
      <c r="L2" s="12"/>
      <c r="M2" s="12"/>
      <c r="N2" s="12"/>
      <c r="O2" s="12"/>
      <c r="P2" s="12"/>
      <c r="Q2" s="12"/>
      <c r="R2" s="12"/>
      <c r="S2" s="12"/>
      <c r="T2" s="10"/>
      <c r="U2" s="10"/>
    </row>
    <row r="3" spans="1:21" ht="28.5" customHeight="1" x14ac:dyDescent="0.25">
      <c r="A3" s="45" t="s">
        <v>44</v>
      </c>
      <c r="B3" s="45"/>
      <c r="C3" s="45"/>
      <c r="D3" s="45"/>
      <c r="E3" s="10"/>
      <c r="F3" s="29"/>
      <c r="G3" s="13"/>
      <c r="H3" s="13"/>
      <c r="I3" s="13"/>
      <c r="J3" s="13"/>
      <c r="K3" s="14"/>
      <c r="L3" s="15"/>
      <c r="M3" s="15"/>
      <c r="N3" s="15"/>
      <c r="O3" s="15"/>
      <c r="P3" s="15"/>
      <c r="Q3" s="15"/>
      <c r="R3" s="15"/>
      <c r="S3" s="15"/>
      <c r="T3" s="14"/>
      <c r="U3" s="14"/>
    </row>
    <row r="4" spans="1:21" ht="15.75" thickBot="1" x14ac:dyDescent="0.3">
      <c r="G4" s="16"/>
      <c r="H4" s="16"/>
      <c r="I4" s="16"/>
      <c r="J4" s="16"/>
      <c r="L4" s="17"/>
      <c r="M4" s="17"/>
      <c r="N4" s="17"/>
      <c r="O4" s="17"/>
      <c r="P4" s="17"/>
      <c r="Q4" s="17"/>
      <c r="R4" s="17"/>
      <c r="S4" s="17"/>
      <c r="U4" s="2"/>
    </row>
    <row r="5" spans="1:21" ht="15" customHeight="1" thickBot="1" x14ac:dyDescent="0.3">
      <c r="A5" s="38" t="s">
        <v>1</v>
      </c>
      <c r="B5" s="35" t="s">
        <v>34</v>
      </c>
      <c r="C5" s="48" t="s">
        <v>43</v>
      </c>
      <c r="D5" s="49"/>
      <c r="E5" s="50"/>
      <c r="G5" s="16"/>
      <c r="H5" s="16"/>
      <c r="I5" s="16"/>
      <c r="J5" s="16"/>
      <c r="L5" s="17"/>
      <c r="M5" s="17"/>
      <c r="N5" s="17"/>
      <c r="O5" s="17"/>
      <c r="P5" s="17"/>
      <c r="Q5" s="17"/>
      <c r="R5" s="17"/>
      <c r="S5" s="17"/>
      <c r="U5" s="2"/>
    </row>
    <row r="6" spans="1:21" x14ac:dyDescent="0.25">
      <c r="A6" s="1" t="s">
        <v>4</v>
      </c>
      <c r="B6" s="1"/>
      <c r="C6" s="51"/>
      <c r="D6" s="52"/>
      <c r="E6" s="53"/>
      <c r="G6" s="16"/>
      <c r="H6" s="16"/>
      <c r="I6" s="16"/>
      <c r="J6" s="16"/>
      <c r="L6" s="17"/>
      <c r="M6" s="17"/>
      <c r="N6" s="17"/>
      <c r="O6" s="17"/>
      <c r="P6" s="17"/>
      <c r="Q6" s="17"/>
      <c r="R6" s="17"/>
      <c r="S6" s="17"/>
      <c r="U6" s="2"/>
    </row>
    <row r="7" spans="1:21" x14ac:dyDescent="0.25">
      <c r="A7" s="1" t="s">
        <v>28</v>
      </c>
      <c r="B7" s="1"/>
      <c r="C7" s="51"/>
      <c r="D7" s="52"/>
      <c r="E7" s="53"/>
      <c r="G7" s="16"/>
      <c r="H7" s="16"/>
      <c r="I7" s="16"/>
      <c r="J7" s="16"/>
      <c r="L7" s="17"/>
      <c r="M7" s="17"/>
      <c r="N7" s="17"/>
      <c r="O7" s="17"/>
      <c r="P7" s="17"/>
      <c r="Q7" s="17"/>
      <c r="R7" s="17"/>
      <c r="S7" s="17"/>
      <c r="U7" s="2"/>
    </row>
    <row r="8" spans="1:21" ht="15.75" thickBot="1" x14ac:dyDescent="0.3">
      <c r="A8" s="4" t="s">
        <v>27</v>
      </c>
      <c r="B8" s="18"/>
      <c r="C8" s="54"/>
      <c r="D8" s="55"/>
      <c r="E8" s="56"/>
      <c r="G8" s="16"/>
      <c r="H8" s="16"/>
      <c r="I8" s="16"/>
      <c r="J8" s="16"/>
      <c r="L8" s="17"/>
      <c r="M8" s="17"/>
      <c r="N8" s="17"/>
      <c r="O8" s="17"/>
      <c r="P8" s="17"/>
      <c r="Q8" s="17"/>
      <c r="R8" s="17"/>
      <c r="S8" s="17"/>
      <c r="U8" s="2"/>
    </row>
    <row r="9" spans="1:21" x14ac:dyDescent="0.25">
      <c r="A9" s="18"/>
      <c r="B9" s="18"/>
      <c r="C9" s="18"/>
      <c r="D9" s="5" t="s">
        <v>7</v>
      </c>
      <c r="E9" s="5"/>
      <c r="F9" s="5"/>
      <c r="G9" s="19"/>
      <c r="H9" s="19"/>
      <c r="I9" s="19"/>
      <c r="J9" s="19"/>
      <c r="K9" s="37" t="s">
        <v>35</v>
      </c>
      <c r="L9" s="20"/>
      <c r="M9" s="20"/>
      <c r="N9" s="20"/>
      <c r="O9" s="20"/>
      <c r="P9" s="20"/>
      <c r="Q9" s="20"/>
      <c r="R9" s="20"/>
      <c r="S9" s="20"/>
      <c r="T9" s="5"/>
      <c r="U9" s="37" t="s">
        <v>42</v>
      </c>
    </row>
    <row r="10" spans="1:21" ht="26.25" thickBot="1" x14ac:dyDescent="0.3">
      <c r="A10" s="21" t="s">
        <v>2</v>
      </c>
      <c r="B10" s="21" t="s">
        <v>12</v>
      </c>
      <c r="C10" s="21" t="s">
        <v>13</v>
      </c>
      <c r="D10" s="21" t="s">
        <v>6</v>
      </c>
      <c r="E10" s="21" t="s">
        <v>8</v>
      </c>
      <c r="F10" s="21" t="s">
        <v>14</v>
      </c>
      <c r="G10" s="22" t="s">
        <v>15</v>
      </c>
      <c r="H10" s="22" t="s">
        <v>21</v>
      </c>
      <c r="I10" s="22" t="s">
        <v>22</v>
      </c>
      <c r="J10" s="22" t="s">
        <v>20</v>
      </c>
      <c r="K10" s="21" t="s">
        <v>17</v>
      </c>
      <c r="L10" s="23" t="s">
        <v>16</v>
      </c>
      <c r="M10" s="23" t="s">
        <v>18</v>
      </c>
      <c r="N10" s="23" t="s">
        <v>23</v>
      </c>
      <c r="O10" s="23" t="s">
        <v>24</v>
      </c>
      <c r="P10" s="23" t="s">
        <v>20</v>
      </c>
      <c r="Q10" s="23" t="s">
        <v>40</v>
      </c>
      <c r="R10" s="23" t="s">
        <v>39</v>
      </c>
      <c r="S10" s="23" t="s">
        <v>38</v>
      </c>
      <c r="T10" s="21" t="s">
        <v>9</v>
      </c>
      <c r="U10" s="21" t="s">
        <v>41</v>
      </c>
    </row>
    <row r="11" spans="1:21" ht="15.75" customHeight="1" x14ac:dyDescent="0.25">
      <c r="A11" s="31" t="s">
        <v>62</v>
      </c>
      <c r="B11" s="31" t="s">
        <v>64</v>
      </c>
      <c r="C11" s="31" t="s">
        <v>65</v>
      </c>
      <c r="D11" s="32">
        <v>249000</v>
      </c>
      <c r="E11" s="33">
        <v>1.4999999999999999E-2</v>
      </c>
      <c r="F11" s="34">
        <v>0</v>
      </c>
      <c r="G11" s="34">
        <v>0</v>
      </c>
      <c r="H11" s="34">
        <v>0</v>
      </c>
      <c r="I11" s="34">
        <v>3.0000000000000001E-3</v>
      </c>
      <c r="J11" s="36" t="str">
        <f>IF(ISNUMBER(IF(K11="RTL SPLIT",F11/2,IF(K11="DSCR SPLIT",G11/2,IF(K11="TPO RTL SPLIT",I11/2,IF(K11="TPO DSCR SPLIT",H11/2))))),IF(K11="RTL SPLIT",F11/2,IF(K11="DSCR SPLIT",G11/2,IF(K11="TPO RTL SPLIT",I11/2,IF(K11="TPO DSCR SPLIT",H11/2,0)))),"")</f>
        <v/>
      </c>
      <c r="K11" s="33" t="s">
        <v>26</v>
      </c>
      <c r="L11" s="25">
        <f>(D11*E11)*F11</f>
        <v>0</v>
      </c>
      <c r="M11" s="25">
        <f>D11*G11</f>
        <v>0</v>
      </c>
      <c r="N11" s="25">
        <f>(H11*D11)</f>
        <v>0</v>
      </c>
      <c r="O11" s="25">
        <f>(D11*I11)</f>
        <v>747</v>
      </c>
      <c r="P11" s="30" t="str" cm="1">
        <f t="array" ref="P11">IFERROR(IF(ISNUMBER(_xlfn.IFS(K11="RTL SPLIT",J11*D11*E11,K11="DSCR SPLIT",J11*D11,K11="TPO DSCR SPLIT",J11*D11,K11="TPO RTL SPLIT",J11*D11*E11*100)),_xlfn.IFS(K11="RTL SPLIT",J11*D11*E11,K11="DSCR SPLIT",J11*D11,K11="TPO DSCR SPLIT",J11*D11,K11="TPO RTL SPLIT",J11*D11*E11*100),""),0)</f>
        <v/>
      </c>
      <c r="Q11" s="34">
        <v>9.9000000000000005E-2</v>
      </c>
      <c r="R11" s="34">
        <v>9.9000000000000005E-2</v>
      </c>
      <c r="S11" s="25">
        <f>IF(R11&gt;Q11,((R11-Q11)*D11)*0.1667,0)</f>
        <v>0</v>
      </c>
      <c r="T11" s="40" cm="1">
        <f t="array" ref="T11">IFERROR(_xlfn.IFS(K11="BRIDGE",L11+S11,K11="DSCR",M11,K11="RETAIL DSCR",M11,K11="DSCR TPO",N11,K11="RTL SPLIT",P11+(S11/2),K11="DSCR SPLIT",P11,K11="TPO DSCR SPLIT",P11,K11="Bridge TPO",IF(AND(K11="BRIDGE TPO",S11&lt;0.01),O11,IF(AND(K11="Bridge TPO",$S11&gt;0,(L11+S11)&gt;(D11*0.003)),L11+S11,IF(AND(K11="Bridge TPO",$S11&gt;0,(L11+S11)&lt;(D11*0.003)),D11*0.003,0))),K11="TPO RTL SPLIT",IF(AND(K11="TPO RTL SPLIT",S11&lt;0.01),P11,IF(AND(K11="TPO RTL SPLIT",S11&gt;0,((L11/2)+(S11/2))&gt;(D11*0.0015)),(L11/2)+(S11/2),IF(AND(K11="TPO RTL SPLIT",$S11&gt;0,((L11/2)+(S11/2))&lt;(D11*0.0015)),D11*0.0015,0)))),0)</f>
        <v>747</v>
      </c>
      <c r="U11" s="42"/>
    </row>
    <row r="12" spans="1:21" x14ac:dyDescent="0.25">
      <c r="A12" s="31" t="s">
        <v>51</v>
      </c>
      <c r="B12" s="31" t="s">
        <v>53</v>
      </c>
      <c r="C12" s="31" t="s">
        <v>54</v>
      </c>
      <c r="D12" s="32">
        <v>505399</v>
      </c>
      <c r="E12" s="33">
        <v>1.4999999999999999E-2</v>
      </c>
      <c r="F12" s="34">
        <v>0.2</v>
      </c>
      <c r="G12" s="34">
        <v>0</v>
      </c>
      <c r="H12" s="34">
        <v>0</v>
      </c>
      <c r="I12" s="34">
        <v>0</v>
      </c>
      <c r="J12" s="36"/>
      <c r="K12" s="33" t="s">
        <v>33</v>
      </c>
      <c r="L12" s="25">
        <f>(D12*E12)*F12</f>
        <v>1516.1970000000001</v>
      </c>
      <c r="M12" s="25">
        <f>D12*G12</f>
        <v>0</v>
      </c>
      <c r="N12" s="25">
        <f>(H12*D12)</f>
        <v>0</v>
      </c>
      <c r="O12" s="25">
        <f>(D12*I12)</f>
        <v>0</v>
      </c>
      <c r="P12" s="30" t="str" cm="1">
        <f t="array" ref="P12">IFERROR(IF(ISNUMBER(_xlfn.IFS(K12="RTL SPLIT",J12*D12*E12,K12="DSCR SPLIT",J12*D12,K12="TPO DSCR SPLIT",J12*D12,K12="TPO RTL SPLIT",J12*D12*E12*100)),_xlfn.IFS(K12="RTL SPLIT",J12*D12*E12,K12="DSCR SPLIT",J12*D12,K12="TPO DSCR SPLIT",J12*D12,K12="TPO RTL SPLIT",J12*D12*E12*100),""),0)</f>
        <v/>
      </c>
      <c r="Q12" s="34">
        <v>9.9000000000000005E-2</v>
      </c>
      <c r="R12" s="34">
        <v>0.10249999999999999</v>
      </c>
      <c r="S12" s="25">
        <f>IF(R12&gt;Q12,((R12-Q12)*D12)*0.1667,0)</f>
        <v>294.87504654999907</v>
      </c>
      <c r="T12" s="40" cm="1">
        <f t="array" ref="T12">IFERROR(_xlfn.IFS(K12="BRIDGE",L12+S12,K12="DSCR",M12,K12="RETAIL DSCR",M12,K12="DSCR TPO",N12,K12="RTL SPLIT",P12+(S12/2),K12="DSCR SPLIT",P12,K12="TPO DSCR SPLIT",P12,K12="Bridge TPO",IF(AND(K12="BRIDGE TPO",S12&lt;0.01),O12,IF(AND(K12="Bridge TPO",$S12&gt;0,(L12+S12)&gt;(D12*0.003)),L12+S12,IF(AND(K12="Bridge TPO",$S12&gt;0,(L12+S12)&lt;(D12*0.003)),D12*0.003,0))),K12="TPO RTL SPLIT",IF(AND(K12="TPO RTL SPLIT",S12&lt;0.01),P12,IF(AND(K12="TPO RTL SPLIT",S12&gt;0,((L12/2)+(S12/2))&gt;(D12*0.0015)),(L12/2)+(S12/2),IF(AND(K12="TPO RTL SPLIT",$S12&gt;0,((L12/2)+(S12/2))&lt;(D12*0.0015)),D12*0.0015,0)))),0)</f>
        <v>1811.0720465499992</v>
      </c>
      <c r="U12" s="42"/>
    </row>
    <row r="13" spans="1:21" x14ac:dyDescent="0.25">
      <c r="A13" s="31" t="s">
        <v>52</v>
      </c>
      <c r="B13" s="31" t="s">
        <v>53</v>
      </c>
      <c r="C13" s="31" t="s">
        <v>54</v>
      </c>
      <c r="D13" s="32">
        <v>721952</v>
      </c>
      <c r="E13" s="33">
        <v>1.4999999999999999E-2</v>
      </c>
      <c r="F13" s="34">
        <v>0.2</v>
      </c>
      <c r="G13" s="34">
        <v>0</v>
      </c>
      <c r="H13" s="34">
        <v>0</v>
      </c>
      <c r="I13" s="34">
        <v>0</v>
      </c>
      <c r="J13" s="36"/>
      <c r="K13" s="33" t="s">
        <v>33</v>
      </c>
      <c r="L13" s="25">
        <f>(D13*E13)*F13</f>
        <v>2165.8559999999998</v>
      </c>
      <c r="M13" s="25">
        <f>D13*G13</f>
        <v>0</v>
      </c>
      <c r="N13" s="25">
        <f>(H13*D13)</f>
        <v>0</v>
      </c>
      <c r="O13" s="25">
        <f>(D13*I13)</f>
        <v>0</v>
      </c>
      <c r="P13" s="30" t="str" cm="1">
        <f t="array" ref="P13">IFERROR(IF(ISNUMBER(_xlfn.IFS(K13="RTL SPLIT",J13*D13*E13,K13="DSCR SPLIT",J13*D13,K13="TPO DSCR SPLIT",J13*D13,K13="TPO RTL SPLIT",J13*D13*E13*100)),_xlfn.IFS(K13="RTL SPLIT",J13*D13*E13,K13="DSCR SPLIT",J13*D13,K13="TPO DSCR SPLIT",J13*D13,K13="TPO RTL SPLIT",J13*D13*E13*100),""),0)</f>
        <v/>
      </c>
      <c r="Q13" s="34">
        <v>9.9000000000000005E-2</v>
      </c>
      <c r="R13" s="34">
        <v>0.10249999999999999</v>
      </c>
      <c r="S13" s="25">
        <f>IF(R13&gt;Q13,((R13-Q13)*D13)*0.1667,0)</f>
        <v>421.22289439999867</v>
      </c>
      <c r="T13" s="40" cm="1">
        <f t="array" ref="T13">IFERROR(_xlfn.IFS(K13="BRIDGE",L13+S13,K13="DSCR",M13,K13="RETAIL DSCR",M13,K13="DSCR TPO",N13,K13="RTL SPLIT",P13+(S13/2),K13="DSCR SPLIT",P13,K13="TPO DSCR SPLIT",P13,K13="Bridge TPO",IF(AND(K13="BRIDGE TPO",S13&lt;0.01),O13,IF(AND(K13="Bridge TPO",$S13&gt;0,(L13+S13)&gt;(D13*0.003)),L13+S13,IF(AND(K13="Bridge TPO",$S13&gt;0,(L13+S13)&lt;(D13*0.003)),D13*0.003,0))),K13="TPO RTL SPLIT",IF(AND(K13="TPO RTL SPLIT",S13&lt;0.01),P13,IF(AND(K13="TPO RTL SPLIT",S13&gt;0,((L13/2)+(S13/2))&gt;(D13*0.0015)),(L13/2)+(S13/2),IF(AND(K13="TPO RTL SPLIT",$S13&gt;0,((L13/2)+(S13/2))&lt;(D13*0.0015)),D13*0.0015,0)))),0)</f>
        <v>2587.0788943999983</v>
      </c>
      <c r="U13" s="42"/>
    </row>
    <row r="14" spans="1:21" x14ac:dyDescent="0.25">
      <c r="A14" s="31" t="s">
        <v>69</v>
      </c>
      <c r="B14" s="31" t="s">
        <v>70</v>
      </c>
      <c r="C14" s="31" t="s">
        <v>71</v>
      </c>
      <c r="D14" s="32">
        <v>845000</v>
      </c>
      <c r="E14" s="33">
        <v>0</v>
      </c>
      <c r="F14" s="34">
        <v>0</v>
      </c>
      <c r="G14" s="34">
        <v>5.0000000000000001E-3</v>
      </c>
      <c r="H14" s="34">
        <v>0</v>
      </c>
      <c r="I14" s="34">
        <v>0</v>
      </c>
      <c r="J14" s="36" t="str">
        <f>IF(ISNUMBER(IF(K14="RTL SPLIT",F14/2,IF(K14="DSCR SPLIT",G14/2,IF(K14="TPO RTL SPLIT",I14/2,IF(K14="TPO DSCR SPLIT",H14/2))))),IF(K14="RTL SPLIT",F14/2,IF(K14="DSCR SPLIT",G14/2,IF(K14="TPO RTL SPLIT",I14/2,IF(K14="TPO DSCR SPLIT",H14/2,0)))),"")</f>
        <v/>
      </c>
      <c r="K14" s="33" t="s">
        <v>19</v>
      </c>
      <c r="L14" s="25">
        <f>(D14*E14)*F14</f>
        <v>0</v>
      </c>
      <c r="M14" s="25">
        <f>D14*G14</f>
        <v>4225</v>
      </c>
      <c r="N14" s="25">
        <f>(H14*D14)</f>
        <v>0</v>
      </c>
      <c r="O14" s="25">
        <f>(D14*I14)</f>
        <v>0</v>
      </c>
      <c r="P14" s="30" t="str" cm="1">
        <f t="array" ref="P14">IFERROR(IF(ISNUMBER(_xlfn.IFS(K14="RTL SPLIT",J14*D14*E14,K14="DSCR SPLIT",J14*D14,K14="TPO DSCR SPLIT",J14*D14,K14="TPO RTL SPLIT",J14*D14*E14*100)),_xlfn.IFS(K14="RTL SPLIT",J14*D14*E14,K14="DSCR SPLIT",J14*D14,K14="TPO DSCR SPLIT",J14*D14,K14="TPO RTL SPLIT",J14*D14*E14*100),""),0)</f>
        <v/>
      </c>
      <c r="Q14" s="34"/>
      <c r="R14" s="34"/>
      <c r="S14" s="25">
        <f>IF(R14&gt;Q14,((R14-Q14)*D14)*0.1667,0)</f>
        <v>0</v>
      </c>
      <c r="T14" s="40" cm="1">
        <f t="array" ref="T14">IFERROR(_xlfn.IFS(K14="BRIDGE",L14+S14,K14="DSCR",M14,K14="RETAIL DSCR",M14,K14="DSCR TPO",N14,K14="RTL SPLIT",P14+(S14/2),K14="DSCR SPLIT",P14,K14="TPO DSCR SPLIT",P14,K14="Bridge TPO",IF(AND(K14="BRIDGE TPO",S14&lt;0.01),O14,IF(AND(K14="Bridge TPO",$S14&gt;0,(L14+S14)&gt;(D14*0.003)),L14+S14,IF(AND(K14="Bridge TPO",$S14&gt;0,(L14+S14)&lt;(D14*0.003)),D14*0.003,0))),K14="TPO RTL SPLIT",IF(AND(K14="TPO RTL SPLIT",S14&lt;0.01),P14,IF(AND(K14="TPO RTL SPLIT",S14&gt;0,((L14/2)+(S14/2))&gt;(D14*0.0015)),(L14/2)+(S14/2),IF(AND(K14="TPO RTL SPLIT",$S14&gt;0,((L14/2)+(S14/2))&lt;(D14*0.0015)),D14*0.0015,0)))),0)</f>
        <v>4225</v>
      </c>
      <c r="U14" s="42"/>
    </row>
    <row r="15" spans="1:21" x14ac:dyDescent="0.25">
      <c r="A15" s="31" t="s">
        <v>66</v>
      </c>
      <c r="B15" s="31" t="s">
        <v>67</v>
      </c>
      <c r="C15" s="31" t="s">
        <v>68</v>
      </c>
      <c r="D15" s="32">
        <f>352000*0.75</f>
        <v>264000</v>
      </c>
      <c r="E15" s="33">
        <v>1.7299999999999999E-2</v>
      </c>
      <c r="F15" s="34">
        <v>0</v>
      </c>
      <c r="G15" s="34">
        <v>5.0000000000000001E-3</v>
      </c>
      <c r="H15" s="34">
        <v>0</v>
      </c>
      <c r="I15" s="34">
        <v>0</v>
      </c>
      <c r="J15" s="36" t="str">
        <f>IF(ISNUMBER(IF(K15="RTL SPLIT",F15/2,IF(K15="DSCR SPLIT",G15/2,IF(K15="TPO RTL SPLIT",I15/2,IF(K15="TPO DSCR SPLIT",H15/2))))),IF(K15="RTL SPLIT",F15/2,IF(K15="DSCR SPLIT",G15/2,IF(K15="TPO RTL SPLIT",I15/2,IF(K15="TPO DSCR SPLIT",H15/2,0)))),"")</f>
        <v/>
      </c>
      <c r="K15" s="33" t="s">
        <v>19</v>
      </c>
      <c r="L15" s="25">
        <f>(D15*E15)*F15</f>
        <v>0</v>
      </c>
      <c r="M15" s="25">
        <f>D15*G15</f>
        <v>1320</v>
      </c>
      <c r="N15" s="25">
        <f>(H15*D15)</f>
        <v>0</v>
      </c>
      <c r="O15" s="25">
        <f>(D15*I15)</f>
        <v>0</v>
      </c>
      <c r="P15" s="30" t="str" cm="1">
        <f t="array" ref="P15">IFERROR(IF(ISNUMBER(_xlfn.IFS(K15="RTL SPLIT",J15*D15*E15,K15="DSCR SPLIT",J15*D15,K15="TPO DSCR SPLIT",J15*D15,K15="TPO RTL SPLIT",J15*D15*E15*100)),_xlfn.IFS(K15="RTL SPLIT",J15*D15*E15,K15="DSCR SPLIT",J15*D15,K15="TPO DSCR SPLIT",J15*D15,K15="TPO RTL SPLIT",J15*D15*E15*100),""),0)</f>
        <v/>
      </c>
      <c r="Q15" s="34"/>
      <c r="R15" s="34"/>
      <c r="S15" s="25">
        <f>IF(R15&gt;Q15,((R15-Q15)*D15)*0.1667,0)</f>
        <v>0</v>
      </c>
      <c r="T15" s="40" cm="1">
        <f t="array" ref="T15">IFERROR(_xlfn.IFS(K15="BRIDGE",L15+S15,K15="DSCR",M15,K15="RETAIL DSCR",M15,K15="DSCR TPO",N15,K15="RTL SPLIT",P15+(S15/2),K15="DSCR SPLIT",P15,K15="TPO DSCR SPLIT",P15,K15="Bridge TPO",IF(AND(K15="BRIDGE TPO",S15&lt;0.01),O15,IF(AND(K15="Bridge TPO",$S15&gt;0,(L15+S15)&gt;(D15*0.003)),L15+S15,IF(AND(K15="Bridge TPO",$S15&gt;0,(L15+S15)&lt;(D15*0.003)),D15*0.003,0))),K15="TPO RTL SPLIT",IF(AND(K15="TPO RTL SPLIT",S15&lt;0.01),P15,IF(AND(K15="TPO RTL SPLIT",S15&gt;0,((L15/2)+(S15/2))&gt;(D15*0.0015)),(L15/2)+(S15/2),IF(AND(K15="TPO RTL SPLIT",$S15&gt;0,((L15/2)+(S15/2))&lt;(D15*0.0015)),D15*0.0015,0)))),0)</f>
        <v>1320</v>
      </c>
      <c r="U15" s="42"/>
    </row>
    <row r="16" spans="1:21" x14ac:dyDescent="0.25">
      <c r="A16" s="31" t="s">
        <v>72</v>
      </c>
      <c r="B16" s="31" t="s">
        <v>73</v>
      </c>
      <c r="C16" s="31" t="s">
        <v>74</v>
      </c>
      <c r="D16" s="32">
        <v>600000</v>
      </c>
      <c r="E16" s="33">
        <v>0</v>
      </c>
      <c r="F16" s="34">
        <v>0</v>
      </c>
      <c r="G16" s="34">
        <v>5.0000000000000001E-3</v>
      </c>
      <c r="H16" s="34">
        <v>0</v>
      </c>
      <c r="I16" s="34">
        <v>0</v>
      </c>
      <c r="J16" s="36" t="str">
        <f t="shared" ref="J16:J35" si="0">IF(ISNUMBER(IF(K16="RTL SPLIT",F16/2,IF(K16="DSCR SPLIT",G16/2,IF(K16="TPO RTL SPLIT",I16/2,IF(K16="TPO DSCR SPLIT",H16/2))))),IF(K16="RTL SPLIT",F16/2,IF(K16="DSCR SPLIT",G16/2,IF(K16="TPO RTL SPLIT",I16/2,IF(K16="TPO DSCR SPLIT",H16/2,0)))),"")</f>
        <v/>
      </c>
      <c r="K16" s="33" t="s">
        <v>19</v>
      </c>
      <c r="L16" s="25">
        <f t="shared" ref="L16:L35" si="1">(D16*E16)*F16</f>
        <v>0</v>
      </c>
      <c r="M16" s="25">
        <f t="shared" ref="M16:M35" si="2">D16*G16</f>
        <v>3000</v>
      </c>
      <c r="N16" s="25">
        <f t="shared" ref="N16:N35" si="3">(H16*D16)</f>
        <v>0</v>
      </c>
      <c r="O16" s="25">
        <f t="shared" ref="O16:O35" si="4">(D16*I16)</f>
        <v>0</v>
      </c>
      <c r="P16" s="30" t="str" cm="1">
        <f t="array" ref="P16">IFERROR(IF(ISNUMBER(_xlfn.IFS(K16="RTL SPLIT",J16*D16*E16,K16="DSCR SPLIT",J16*D16,K16="TPO DSCR SPLIT",J16*D16,K16="TPO RTL SPLIT",J16*D16*E16*100)),_xlfn.IFS(K16="RTL SPLIT",J16*D16*E16,K16="DSCR SPLIT",J16*D16,K16="TPO DSCR SPLIT",J16*D16,K16="TPO RTL SPLIT",J16*D16*E16*100),""),0)</f>
        <v/>
      </c>
      <c r="Q16" s="34"/>
      <c r="R16" s="34"/>
      <c r="S16" s="25">
        <f t="shared" ref="S16:S35" si="5">IF(R16&gt;Q16,((R16-Q16)*D16)*0.1667,0)</f>
        <v>0</v>
      </c>
      <c r="T16" s="40" cm="1">
        <f t="array" ref="T16">IFERROR(_xlfn.IFS(K16="BRIDGE",L16+S16,K16="DSCR",M16,K16="RETAIL DSCR",M16,K16="DSCR TPO",N16,K16="RTL SPLIT",P16+(S16/2),K16="DSCR SPLIT",P16,K16="TPO DSCR SPLIT",P16,K16="Bridge TPO",IF(AND(K16="BRIDGE TPO",S16&lt;0.01),O16,IF(AND(K16="Bridge TPO",$S16&gt;0,(L16+S16)&gt;(D16*0.003)),L16+S16,IF(AND(K16="Bridge TPO",$S16&gt;0,(L16+S16)&lt;(D16*0.003)),D16*0.003,0))),K16="TPO RTL SPLIT",IF(AND(K16="TPO RTL SPLIT",S16&lt;0.01),P16,IF(AND(K16="TPO RTL SPLIT",S16&gt;0,((L16/2)+(S16/2))&gt;(D16*0.0015)),(L16/2)+(S16/2),IF(AND(K16="TPO RTL SPLIT",$S16&gt;0,((L16/2)+(S16/2))&lt;(D16*0.0015)),D16*0.0015,0)))),0)</f>
        <v>3000</v>
      </c>
      <c r="U16" s="42"/>
    </row>
    <row r="17" spans="1:21" ht="15.75" customHeight="1" x14ac:dyDescent="0.25">
      <c r="A17" s="31" t="s">
        <v>61</v>
      </c>
      <c r="B17" s="31" t="s">
        <v>48</v>
      </c>
      <c r="C17" s="31" t="s">
        <v>49</v>
      </c>
      <c r="D17" s="32">
        <v>394500</v>
      </c>
      <c r="E17" s="33">
        <v>0</v>
      </c>
      <c r="F17" s="34">
        <v>0.2</v>
      </c>
      <c r="G17" s="34">
        <v>0</v>
      </c>
      <c r="H17" s="34">
        <v>0</v>
      </c>
      <c r="I17" s="34">
        <v>0</v>
      </c>
      <c r="J17" s="36" t="str">
        <f>IF(ISNUMBER(IF(K17="RTL SPLIT",F17/2,IF(K17="DSCR SPLIT",G17/2,IF(K17="TPO RTL SPLIT",I17/2,IF(K17="TPO DSCR SPLIT",H17/2))))),IF(K17="RTL SPLIT",F17/2,IF(K17="DSCR SPLIT",G17/2,IF(K17="TPO RTL SPLIT",I17/2,IF(K17="TPO DSCR SPLIT",H17/2,0)))),"")</f>
        <v/>
      </c>
      <c r="K17" s="33" t="s">
        <v>33</v>
      </c>
      <c r="L17" s="25">
        <f>(D17*E17)*F17</f>
        <v>0</v>
      </c>
      <c r="M17" s="25">
        <f>D17*G17</f>
        <v>0</v>
      </c>
      <c r="N17" s="25">
        <f>(H17*D17)</f>
        <v>0</v>
      </c>
      <c r="O17" s="25">
        <f>(D17*I17)</f>
        <v>0</v>
      </c>
      <c r="P17" s="30" t="str" cm="1">
        <f t="array" ref="P17">IFERROR(IF(ISNUMBER(_xlfn.IFS(K17="RTL SPLIT",J17*D17*E17,K17="DSCR SPLIT",J17*D17,K17="TPO DSCR SPLIT",J17*D17,K17="TPO RTL SPLIT",J17*D17*E17*100)),_xlfn.IFS(K17="RTL SPLIT",J17*D17*E17,K17="DSCR SPLIT",J17*D17,K17="TPO DSCR SPLIT",J17*D17,K17="TPO RTL SPLIT",J17*D17*E17*100),""),0)</f>
        <v/>
      </c>
      <c r="Q17" s="34">
        <v>9.9000000000000005E-2</v>
      </c>
      <c r="R17" s="34">
        <v>0.129</v>
      </c>
      <c r="S17" s="25">
        <f>IF(R17&gt;Q17,((R17-Q17)*D17)*0.1667,0)</f>
        <v>1972.8944999999999</v>
      </c>
      <c r="T17" s="40" cm="1">
        <f t="array" ref="T17">IFERROR(_xlfn.IFS(K17="BRIDGE",L17+S17,K17="DSCR",M17,K17="RETAIL DSCR",M17,K17="DSCR TPO",N17,K17="RTL SPLIT",P17+(S17/2),K17="DSCR SPLIT",P17,K17="TPO DSCR SPLIT",P17,K17="Bridge TPO",IF(AND(K17="BRIDGE TPO",S17&lt;0.01),O17,IF(AND(K17="Bridge TPO",$S17&gt;0,(L17+S17)&gt;(D17*0.003)),L17+S17,IF(AND(K17="Bridge TPO",$S17&gt;0,(L17+S17)&lt;(D17*0.003)),D17*0.003,0))),K17="TPO RTL SPLIT",IF(AND(K17="TPO RTL SPLIT",S17&lt;0.01),P17,IF(AND(K17="TPO RTL SPLIT",S17&gt;0,((L17/2)+(S17/2))&gt;(D17*0.0015)),(L17/2)+(S17/2),IF(AND(K17="TPO RTL SPLIT",$S17&gt;0,((L17/2)+(S17/2))&lt;(D17*0.0015)),D17*0.0015,0)))),0)</f>
        <v>1972.8944999999999</v>
      </c>
      <c r="U17" s="43" t="s">
        <v>63</v>
      </c>
    </row>
    <row r="18" spans="1:21" ht="15.75" customHeight="1" x14ac:dyDescent="0.25">
      <c r="A18" s="31" t="s">
        <v>58</v>
      </c>
      <c r="B18" s="31" t="s">
        <v>59</v>
      </c>
      <c r="C18" s="31" t="s">
        <v>60</v>
      </c>
      <c r="D18" s="32">
        <v>210000</v>
      </c>
      <c r="E18" s="33">
        <v>1.0200000000000001E-2</v>
      </c>
      <c r="F18" s="34">
        <v>0</v>
      </c>
      <c r="G18" s="34">
        <v>5.0000000000000001E-3</v>
      </c>
      <c r="H18" s="34">
        <v>0</v>
      </c>
      <c r="I18" s="34">
        <v>0</v>
      </c>
      <c r="J18" s="36" t="str">
        <f>IF(ISNUMBER(IF(K18="RTL SPLIT",F18/2,IF(K18="DSCR SPLIT",G18/2,IF(K18="TPO RTL SPLIT",I18/2,IF(K18="TPO DSCR SPLIT",H18/2))))),IF(K18="RTL SPLIT",F18/2,IF(K18="DSCR SPLIT",G18/2,IF(K18="TPO RTL SPLIT",I18/2,IF(K18="TPO DSCR SPLIT",H18/2,0)))),"")</f>
        <v/>
      </c>
      <c r="K18" s="33" t="s">
        <v>19</v>
      </c>
      <c r="L18" s="25">
        <f>(D18*E18)*F18</f>
        <v>0</v>
      </c>
      <c r="M18" s="25">
        <f>D18*G18</f>
        <v>1050</v>
      </c>
      <c r="N18" s="25">
        <f>(H18*D18)</f>
        <v>0</v>
      </c>
      <c r="O18" s="25">
        <f>(D18*I18)</f>
        <v>0</v>
      </c>
      <c r="P18" s="30" t="str" cm="1">
        <f t="array" ref="P18">IFERROR(IF(ISNUMBER(_xlfn.IFS(K18="RTL SPLIT",J18*D18*E18,K18="DSCR SPLIT",J18*D18,K18="TPO DSCR SPLIT",J18*D18,K18="TPO RTL SPLIT",J18*D18*E18*100)),_xlfn.IFS(K18="RTL SPLIT",J18*D18*E18,K18="DSCR SPLIT",J18*D18,K18="TPO DSCR SPLIT",J18*D18,K18="TPO RTL SPLIT",J18*D18*E18*100),""),0)</f>
        <v/>
      </c>
      <c r="Q18" s="34"/>
      <c r="R18" s="34"/>
      <c r="S18" s="25">
        <f>IF(R18&gt;Q18,((R18-Q18)*D18)*0.1667,0)</f>
        <v>0</v>
      </c>
      <c r="T18" s="40" cm="1">
        <f t="array" ref="T18">IFERROR(_xlfn.IFS(K18="BRIDGE",L18+S18,K18="DSCR",M18,K18="RETAIL DSCR",M18,K18="DSCR TPO",N18,K18="RTL SPLIT",P18+(S18/2),K18="DSCR SPLIT",P18,K18="TPO DSCR SPLIT",P18,K18="Bridge TPO",IF(AND(K18="BRIDGE TPO",S18&lt;0.01),O18,IF(AND(K18="Bridge TPO",$S18&gt;0,(L18+S18)&gt;(D18*0.003)),L18+S18,IF(AND(K18="Bridge TPO",$S18&gt;0,(L18+S18)&lt;(D18*0.003)),D18*0.003,0))),K18="TPO RTL SPLIT",IF(AND(K18="TPO RTL SPLIT",S18&lt;0.01),P18,IF(AND(K18="TPO RTL SPLIT",S18&gt;0,((L18/2)+(S18/2))&gt;(D18*0.0015)),(L18/2)+(S18/2),IF(AND(K18="TPO RTL SPLIT",$S18&gt;0,((L18/2)+(S18/2))&lt;(D18*0.0015)),D18*0.0015,0)))),0)</f>
        <v>1050</v>
      </c>
      <c r="U18" s="42"/>
    </row>
    <row r="19" spans="1:21" x14ac:dyDescent="0.25">
      <c r="A19" s="31" t="s">
        <v>45</v>
      </c>
      <c r="B19" s="31" t="s">
        <v>46</v>
      </c>
      <c r="C19" s="31" t="s">
        <v>47</v>
      </c>
      <c r="D19" s="32">
        <v>124700</v>
      </c>
      <c r="E19" s="33">
        <v>0</v>
      </c>
      <c r="F19" s="34">
        <v>0</v>
      </c>
      <c r="G19" s="34">
        <v>5.0000000000000001E-3</v>
      </c>
      <c r="H19" s="34">
        <v>0</v>
      </c>
      <c r="I19" s="34">
        <v>0</v>
      </c>
      <c r="J19" s="36" t="str">
        <f>IF(ISNUMBER(IF(K19="RTL SPLIT",F19/2,IF(K19="DSCR SPLIT",G19/2,IF(K19="TPO RTL SPLIT",I19/2,IF(K19="TPO DSCR SPLIT",H19/2))))),IF(K19="RTL SPLIT",F19/2,IF(K19="DSCR SPLIT",G19/2,IF(K19="TPO RTL SPLIT",I19/2,IF(K19="TPO DSCR SPLIT",H19/2,0)))),"")</f>
        <v/>
      </c>
      <c r="K19" s="33" t="s">
        <v>19</v>
      </c>
      <c r="L19" s="25">
        <f>(D19*E19)*F19</f>
        <v>0</v>
      </c>
      <c r="M19" s="25">
        <f>D19*G19</f>
        <v>623.5</v>
      </c>
      <c r="N19" s="25">
        <f>(H19*D19)</f>
        <v>0</v>
      </c>
      <c r="O19" s="25">
        <f>(D19*I19)</f>
        <v>0</v>
      </c>
      <c r="P19" s="30" t="str" cm="1">
        <f t="array" ref="P19">IFERROR(IF(ISNUMBER(_xlfn.IFS(K19="RTL SPLIT",J19*D19*E19,K19="DSCR SPLIT",J19*D19,K19="TPO DSCR SPLIT",J19*D19,K19="TPO RTL SPLIT",J19*D19*E19*100)),_xlfn.IFS(K19="RTL SPLIT",J19*D19*E19,K19="DSCR SPLIT",J19*D19,K19="TPO DSCR SPLIT",J19*D19,K19="TPO RTL SPLIT",J19*D19*E19*100),""),0)</f>
        <v/>
      </c>
      <c r="Q19" s="34"/>
      <c r="R19" s="34"/>
      <c r="S19" s="25">
        <f>IF(R19&gt;Q19,((R19-Q19)*D19)*0.1667,0)</f>
        <v>0</v>
      </c>
      <c r="T19" s="40" cm="1">
        <f t="array" ref="T19">IFERROR(_xlfn.IFS(K19="BRIDGE",L19+S19,K19="DSCR",M19,K19="RETAIL DSCR",M19,K19="DSCR TPO",N19,K19="RTL SPLIT",P19+(S19/2),K19="DSCR SPLIT",P19,K19="TPO DSCR SPLIT",P19,K19="Bridge TPO",IF(AND(K19="BRIDGE TPO",S19&lt;0.01),O19,IF(AND(K19="Bridge TPO",$S19&gt;0,(L19+S19)&gt;(D19*0.003)),L19+S19,IF(AND(K19="Bridge TPO",$S19&gt;0,(L19+S19)&lt;(D19*0.003)),D19*0.003,0))),K19="TPO RTL SPLIT",IF(AND(K19="TPO RTL SPLIT",S19&lt;0.01),P19,IF(AND(K19="TPO RTL SPLIT",S19&gt;0,((L19/2)+(S19/2))&gt;(D19*0.0015)),(L19/2)+(S19/2),IF(AND(K19="TPO RTL SPLIT",$S19&gt;0,((L19/2)+(S19/2))&lt;(D19*0.0015)),D19*0.0015,0)))),0)</f>
        <v>623.5</v>
      </c>
      <c r="U19" s="42"/>
    </row>
    <row r="20" spans="1:21" x14ac:dyDescent="0.25">
      <c r="A20" s="31" t="s">
        <v>55</v>
      </c>
      <c r="B20" s="31" t="s">
        <v>56</v>
      </c>
      <c r="C20" s="31" t="s">
        <v>57</v>
      </c>
      <c r="D20" s="32">
        <v>245000</v>
      </c>
      <c r="E20" s="33">
        <v>0</v>
      </c>
      <c r="F20" s="34">
        <v>0</v>
      </c>
      <c r="G20" s="34">
        <v>5.0000000000000001E-3</v>
      </c>
      <c r="H20" s="34">
        <v>0</v>
      </c>
      <c r="I20" s="34">
        <v>0</v>
      </c>
      <c r="J20" s="36" t="str">
        <f>IF(ISNUMBER(IF(K20="RTL SPLIT",F20/2,IF(K20="DSCR SPLIT",G20/2,IF(K20="TPO RTL SPLIT",I20/2,IF(K20="TPO DSCR SPLIT",H20/2))))),IF(K20="RTL SPLIT",F20/2,IF(K20="DSCR SPLIT",G20/2,IF(K20="TPO RTL SPLIT",I20/2,IF(K20="TPO DSCR SPLIT",H20/2,0)))),"")</f>
        <v/>
      </c>
      <c r="K20" s="33" t="s">
        <v>19</v>
      </c>
      <c r="L20" s="25">
        <f>(D20*E20)*F20</f>
        <v>0</v>
      </c>
      <c r="M20" s="25">
        <f>D20*G20</f>
        <v>1225</v>
      </c>
      <c r="N20" s="25">
        <f>(H20*D20)</f>
        <v>0</v>
      </c>
      <c r="O20" s="25">
        <f>(D20*I20)</f>
        <v>0</v>
      </c>
      <c r="P20" s="30" t="str" cm="1">
        <f t="array" ref="P20">IFERROR(IF(ISNUMBER(_xlfn.IFS(K20="RTL SPLIT",J20*D20*E20,K20="DSCR SPLIT",J20*D20,K20="TPO DSCR SPLIT",J20*D20,K20="TPO RTL SPLIT",J20*D20*E20*100)),_xlfn.IFS(K20="RTL SPLIT",J20*D20*E20,K20="DSCR SPLIT",J20*D20,K20="TPO DSCR SPLIT",J20*D20,K20="TPO RTL SPLIT",J20*D20*E20*100),""),0)</f>
        <v/>
      </c>
      <c r="Q20" s="34"/>
      <c r="R20" s="34"/>
      <c r="S20" s="25">
        <f>IF(R20&gt;Q20,((R20-Q20)*D20)*0.1667,0)</f>
        <v>0</v>
      </c>
      <c r="T20" s="40" cm="1">
        <f t="array" ref="T20">IFERROR(_xlfn.IFS(K20="BRIDGE",L20+S20,K20="DSCR",M20,K20="RETAIL DSCR",M20,K20="DSCR TPO",N20,K20="RTL SPLIT",P20+(S20/2),K20="DSCR SPLIT",P20,K20="TPO DSCR SPLIT",P20,K20="Bridge TPO",IF(AND(K20="BRIDGE TPO",S20&lt;0.01),O20,IF(AND(K20="Bridge TPO",$S20&gt;0,(L20+S20)&gt;(D20*0.003)),L20+S20,IF(AND(K20="Bridge TPO",$S20&gt;0,(L20+S20)&lt;(D20*0.003)),D20*0.003,0))),K20="TPO RTL SPLIT",IF(AND(K20="TPO RTL SPLIT",S20&lt;0.01),P20,IF(AND(K20="TPO RTL SPLIT",S20&gt;0,((L20/2)+(S20/2))&gt;(D20*0.0015)),(L20/2)+(S20/2),IF(AND(K20="TPO RTL SPLIT",$S20&gt;0,((L20/2)+(S20/2))&lt;(D20*0.0015)),D20*0.0015,0)))),0)</f>
        <v>1225</v>
      </c>
      <c r="U20" s="42"/>
    </row>
    <row r="21" spans="1:21" x14ac:dyDescent="0.25">
      <c r="A21" s="31" t="s">
        <v>75</v>
      </c>
      <c r="B21" s="31" t="s">
        <v>76</v>
      </c>
      <c r="C21" s="31" t="s">
        <v>77</v>
      </c>
      <c r="D21" s="32">
        <f>1200000*0.75</f>
        <v>900000</v>
      </c>
      <c r="E21" s="33">
        <v>1.0500000000000001E-2</v>
      </c>
      <c r="F21" s="34">
        <v>0</v>
      </c>
      <c r="G21" s="34">
        <v>5.0000000000000001E-3</v>
      </c>
      <c r="H21" s="34">
        <v>0</v>
      </c>
      <c r="I21" s="34">
        <v>0</v>
      </c>
      <c r="J21" s="36"/>
      <c r="K21" s="33" t="s">
        <v>19</v>
      </c>
      <c r="L21" s="25">
        <f>(D21*E21)*F21</f>
        <v>0</v>
      </c>
      <c r="M21" s="25">
        <f>D21*G21</f>
        <v>4500</v>
      </c>
      <c r="N21" s="25">
        <f>(H21*D21)</f>
        <v>0</v>
      </c>
      <c r="O21" s="25">
        <f>(D21*I21)</f>
        <v>0</v>
      </c>
      <c r="P21" s="30" t="str" cm="1">
        <f t="array" ref="P21">IFERROR(IF(ISNUMBER(_xlfn.IFS(K21="RTL SPLIT",J21*D21*E21,K21="DSCR SPLIT",J21*D21,K21="TPO DSCR SPLIT",J21*D21,K21="TPO RTL SPLIT",J21*D21*E21*100)),_xlfn.IFS(K21="RTL SPLIT",J21*D21*E21,K21="DSCR SPLIT",J21*D21,K21="TPO DSCR SPLIT",J21*D21,K21="TPO RTL SPLIT",J21*D21*E21*100),""),0)</f>
        <v/>
      </c>
      <c r="Q21" s="34"/>
      <c r="R21" s="34"/>
      <c r="S21" s="25">
        <f>IF(R21&gt;Q21,((R21-Q21)*D21)*0.1667,0)</f>
        <v>0</v>
      </c>
      <c r="T21" s="40" cm="1">
        <f t="array" ref="T21">IFERROR(_xlfn.IFS(K21="BRIDGE",L21+S21,K21="DSCR",M21,K21="RETAIL DSCR",M21,K21="DSCR TPO",N21,K21="RTL SPLIT",P21+(S21/2),K21="DSCR SPLIT",P21,K21="TPO DSCR SPLIT",P21,K21="Bridge TPO",IF(AND(K21="BRIDGE TPO",S21&lt;0.01),O21,IF(AND(K21="Bridge TPO",$S21&gt;0,(L21+S21)&gt;(D21*0.003)),L21+S21,IF(AND(K21="Bridge TPO",$S21&gt;0,(L21+S21)&lt;(D21*0.003)),D21*0.003,0))),K21="TPO RTL SPLIT",IF(AND(K21="TPO RTL SPLIT",S21&lt;0.01),P21,IF(AND(K21="TPO RTL SPLIT",S21&gt;0,((L21/2)+(S21/2))&gt;(D21*0.0015)),(L21/2)+(S21/2),IF(AND(K21="TPO RTL SPLIT",$S21&gt;0,((L21/2)+(S21/2))&lt;(D21*0.0015)),D21*0.0015,0)))),0)</f>
        <v>4500</v>
      </c>
      <c r="U21" s="42"/>
    </row>
    <row r="22" spans="1:21" x14ac:dyDescent="0.25">
      <c r="A22" s="31"/>
      <c r="B22" s="31"/>
      <c r="C22" s="44"/>
      <c r="D22" s="32"/>
      <c r="E22" s="33"/>
      <c r="F22" s="34"/>
      <c r="G22" s="34"/>
      <c r="H22" s="34"/>
      <c r="I22" s="34"/>
      <c r="J22" s="36" t="str">
        <f>IF(ISNUMBER(IF(K22="RTL SPLIT",F22/2,IF(K22="DSCR SPLIT",G22/2,IF(K22="TPO RTL SPLIT",I22/2,IF(K22="TPO DSCR SPLIT",H22/2))))),IF(K22="RTL SPLIT",F22/2,IF(K22="DSCR SPLIT",G22/2,IF(K22="TPO RTL SPLIT",I22/2,IF(K22="TPO DSCR SPLIT",H22/2,0)))),"")</f>
        <v/>
      </c>
      <c r="K22" s="33"/>
      <c r="L22" s="25">
        <f t="shared" si="1"/>
        <v>0</v>
      </c>
      <c r="M22" s="25">
        <f t="shared" si="2"/>
        <v>0</v>
      </c>
      <c r="N22" s="25">
        <f t="shared" si="3"/>
        <v>0</v>
      </c>
      <c r="O22" s="25">
        <f t="shared" si="4"/>
        <v>0</v>
      </c>
      <c r="P22" s="30" t="str" cm="1">
        <f t="array" ref="P22">IFERROR(IF(ISNUMBER(_xlfn.IFS(K22="RTL SPLIT",J22*D22*E22,K22="DSCR SPLIT",J22*D22,K22="TPO DSCR SPLIT",J22*D22,K22="TPO RTL SPLIT",J22*D22*E22*100)),_xlfn.IFS(K22="RTL SPLIT",J22*D22*E22,K22="DSCR SPLIT",J22*D22,K22="TPO DSCR SPLIT",J22*D22,K22="TPO RTL SPLIT",J22*D22*E22*100),""),0)</f>
        <v/>
      </c>
      <c r="Q22" s="34"/>
      <c r="R22" s="34"/>
      <c r="S22" s="25">
        <f t="shared" si="5"/>
        <v>0</v>
      </c>
      <c r="T22" s="40" cm="1">
        <f t="array" ref="T22">IFERROR(_xlfn.IFS(K22="BRIDGE",L22+S22,K22="DSCR",M22,K22="RETAIL DSCR",M22,K22="DSCR TPO",N22,K22="RTL SPLIT",P22+(S22/2),K22="DSCR SPLIT",P22,K22="TPO DSCR SPLIT",P22,K22="Bridge TPO",IF(AND(K22="BRIDGE TPO",S22&lt;0.01),O22,IF(AND(K22="Bridge TPO",$S22&gt;0,(L22+S22)&gt;(D22*0.003)),L22+S22,IF(AND(K22="Bridge TPO",$S22&gt;0,(L22+S22)&lt;(D22*0.003)),D22*0.003,0))),K22="TPO RTL SPLIT",IF(AND(K22="TPO RTL SPLIT",S22&lt;0.01),P22,IF(AND(K22="TPO RTL SPLIT",S22&gt;0,((L22/2)+(S22/2))&gt;(D22*0.0015)),(L22/2)+(S22/2),IF(AND(K22="TPO RTL SPLIT",$S22&gt;0,((L22/2)+(S22/2))&lt;(D22*0.0015)),D22*0.0015,0)))),0)</f>
        <v>0</v>
      </c>
      <c r="U22" s="42"/>
    </row>
    <row r="23" spans="1:21" x14ac:dyDescent="0.25">
      <c r="A23" s="31"/>
      <c r="B23" s="31"/>
      <c r="C23" s="31"/>
      <c r="D23" s="32"/>
      <c r="E23" s="33"/>
      <c r="F23" s="34"/>
      <c r="G23" s="34"/>
      <c r="H23" s="34"/>
      <c r="I23" s="34"/>
      <c r="J23" s="36" t="str">
        <f t="shared" si="0"/>
        <v/>
      </c>
      <c r="K23" s="33"/>
      <c r="L23" s="25">
        <f t="shared" si="1"/>
        <v>0</v>
      </c>
      <c r="M23" s="25">
        <f t="shared" si="2"/>
        <v>0</v>
      </c>
      <c r="N23" s="25">
        <f t="shared" si="3"/>
        <v>0</v>
      </c>
      <c r="O23" s="25">
        <f t="shared" si="4"/>
        <v>0</v>
      </c>
      <c r="P23" s="30" t="str" cm="1">
        <f t="array" ref="P23">IFERROR(IF(ISNUMBER(_xlfn.IFS(K23="RTL SPLIT",J23*D23*E23,K23="DSCR SPLIT",J23*D23,K23="TPO DSCR SPLIT",J23*D23,K23="TPO RTL SPLIT",J23*D23*E23*100)),_xlfn.IFS(K23="RTL SPLIT",J23*D23*E23,K23="DSCR SPLIT",J23*D23,K23="TPO DSCR SPLIT",J23*D23,K23="TPO RTL SPLIT",J23*D23*E23*100),""),0)</f>
        <v/>
      </c>
      <c r="Q23" s="34"/>
      <c r="R23" s="34"/>
      <c r="S23" s="25">
        <f t="shared" si="5"/>
        <v>0</v>
      </c>
      <c r="T23" s="40" cm="1">
        <f t="array" ref="T23">IFERROR(_xlfn.IFS(K23="BRIDGE",L23+S23,K23="DSCR",M23,K23="RETAIL DSCR",M23,K23="DSCR TPO",N23,K23="RTL SPLIT",P23+(S23/2),K23="DSCR SPLIT",P23,K23="TPO DSCR SPLIT",P23,K23="Bridge TPO",IF(AND(K23="BRIDGE TPO",S23&lt;0.01),O23,IF(AND(K23="Bridge TPO",$S23&gt;0,(L23+S23)&gt;(D23*0.003)),L23+S23,IF(AND(K23="Bridge TPO",$S23&gt;0,(L23+S23)&lt;(D23*0.003)),D23*0.003,0))),K23="TPO RTL SPLIT",IF(AND(K23="TPO RTL SPLIT",S23&lt;0.01),P23,IF(AND(K23="TPO RTL SPLIT",S23&gt;0,((L23/2)+(S23/2))&gt;(D23*0.0015)),(L23/2)+(S23/2),IF(AND(K23="TPO RTL SPLIT",$S23&gt;0,((L23/2)+(S23/2))&lt;(D23*0.0015)),D23*0.0015,0)))),0)</f>
        <v>0</v>
      </c>
      <c r="U23" s="42"/>
    </row>
    <row r="24" spans="1:21" x14ac:dyDescent="0.25">
      <c r="A24" s="31"/>
      <c r="B24" s="31"/>
      <c r="C24" s="31"/>
      <c r="D24" s="32"/>
      <c r="E24" s="33"/>
      <c r="F24" s="34"/>
      <c r="G24" s="34"/>
      <c r="H24" s="34"/>
      <c r="I24" s="34"/>
      <c r="J24" s="36" t="str">
        <f t="shared" si="0"/>
        <v/>
      </c>
      <c r="K24" s="33"/>
      <c r="L24" s="25">
        <f t="shared" si="1"/>
        <v>0</v>
      </c>
      <c r="M24" s="25">
        <f t="shared" si="2"/>
        <v>0</v>
      </c>
      <c r="N24" s="25">
        <f t="shared" si="3"/>
        <v>0</v>
      </c>
      <c r="O24" s="25">
        <f t="shared" si="4"/>
        <v>0</v>
      </c>
      <c r="P24" s="30" t="str" cm="1">
        <f t="array" ref="P24">IFERROR(IF(ISNUMBER(_xlfn.IFS(K24="RTL SPLIT",J24*D24*E24,K24="DSCR SPLIT",J24*D24,K24="TPO DSCR SPLIT",J24*D24,K24="TPO RTL SPLIT",J24*D24*E24*100)),_xlfn.IFS(K24="RTL SPLIT",J24*D24*E24,K24="DSCR SPLIT",J24*D24,K24="TPO DSCR SPLIT",J24*D24,K24="TPO RTL SPLIT",J24*D24*E24*100),""),0)</f>
        <v/>
      </c>
      <c r="Q24" s="34"/>
      <c r="R24" s="34"/>
      <c r="S24" s="25">
        <f t="shared" si="5"/>
        <v>0</v>
      </c>
      <c r="T24" s="40" cm="1">
        <f t="array" ref="T24">IFERROR(_xlfn.IFS(K24="BRIDGE",L24+S24,K24="DSCR",M24,K24="RETAIL DSCR",M24,K24="DSCR TPO",N24,K24="RTL SPLIT",P24+(S24/2),K24="DSCR SPLIT",P24,K24="TPO DSCR SPLIT",P24,K24="Bridge TPO",IF(AND(K24="BRIDGE TPO",S24&lt;0.01),O24,IF(AND(K24="Bridge TPO",$S24&gt;0,(L24+S24)&gt;(D24*0.003)),L24+S24,IF(AND(K24="Bridge TPO",$S24&gt;0,(L24+S24)&lt;(D24*0.003)),D24*0.003,0))),K24="TPO RTL SPLIT",IF(AND(K24="TPO RTL SPLIT",S24&lt;0.01),P24,IF(AND(K24="TPO RTL SPLIT",S24&gt;0,((L24/2)+(S24/2))&gt;(D24*0.0015)),(L24/2)+(S24/2),IF(AND(K24="TPO RTL SPLIT",$S24&gt;0,((L24/2)+(S24/2))&lt;(D24*0.0015)),D24*0.0015,0)))),0)</f>
        <v>0</v>
      </c>
      <c r="U24" s="42"/>
    </row>
    <row r="25" spans="1:21" x14ac:dyDescent="0.25">
      <c r="A25" s="31"/>
      <c r="B25" s="31"/>
      <c r="C25" s="31"/>
      <c r="D25" s="32"/>
      <c r="E25" s="33"/>
      <c r="F25" s="34"/>
      <c r="G25" s="34"/>
      <c r="H25" s="34"/>
      <c r="I25" s="34"/>
      <c r="J25" s="36" t="str">
        <f t="shared" si="0"/>
        <v/>
      </c>
      <c r="K25" s="33"/>
      <c r="L25" s="25">
        <f t="shared" si="1"/>
        <v>0</v>
      </c>
      <c r="M25" s="25">
        <f t="shared" si="2"/>
        <v>0</v>
      </c>
      <c r="N25" s="25">
        <f t="shared" si="3"/>
        <v>0</v>
      </c>
      <c r="O25" s="25">
        <f t="shared" si="4"/>
        <v>0</v>
      </c>
      <c r="P25" s="30" t="str" cm="1">
        <f t="array" ref="P25">IFERROR(IF(ISNUMBER(_xlfn.IFS(K25="RTL SPLIT",J25*D25*E25,K25="DSCR SPLIT",J25*D25,K25="TPO DSCR SPLIT",J25*D25,K25="TPO RTL SPLIT",J25*D25*E25*100)),_xlfn.IFS(K25="RTL SPLIT",J25*D25*E25,K25="DSCR SPLIT",J25*D25,K25="TPO DSCR SPLIT",J25*D25,K25="TPO RTL SPLIT",J25*D25*E25*100),""),0)</f>
        <v/>
      </c>
      <c r="Q25" s="34"/>
      <c r="R25" s="34"/>
      <c r="S25" s="25">
        <f t="shared" si="5"/>
        <v>0</v>
      </c>
      <c r="T25" s="40" cm="1">
        <f t="array" ref="T25">IFERROR(_xlfn.IFS(K25="BRIDGE",L25+S25,K25="DSCR",M25,K25="RETAIL DSCR",M25,K25="DSCR TPO",N25,K25="RTL SPLIT",P25+(S25/2),K25="DSCR SPLIT",P25,K25="TPO DSCR SPLIT",P25,K25="Bridge TPO",IF(AND(K25="BRIDGE TPO",S25&lt;0.01),O25,IF(AND(K25="Bridge TPO",$S25&gt;0,(L25+S25)&gt;(D25*0.003)),L25+S25,IF(AND(K25="Bridge TPO",$S25&gt;0,(L25+S25)&lt;(D25*0.003)),D25*0.003,0))),K25="TPO RTL SPLIT",IF(AND(K25="TPO RTL SPLIT",S25&lt;0.01),P25,IF(AND(K25="TPO RTL SPLIT",S25&gt;0,((L25/2)+(S25/2))&gt;(D25*0.0015)),(L25/2)+(S25/2),IF(AND(K25="TPO RTL SPLIT",$S25&gt;0,((L25/2)+(S25/2))&lt;(D25*0.0015)),D25*0.0015,0)))),0)</f>
        <v>0</v>
      </c>
      <c r="U25" s="42"/>
    </row>
    <row r="26" spans="1:21" x14ac:dyDescent="0.25">
      <c r="A26" s="31"/>
      <c r="B26" s="31"/>
      <c r="C26" s="31"/>
      <c r="D26" s="32"/>
      <c r="E26" s="33"/>
      <c r="F26" s="34"/>
      <c r="G26" s="34"/>
      <c r="H26" s="34"/>
      <c r="I26" s="34"/>
      <c r="J26" s="36" t="str">
        <f t="shared" si="0"/>
        <v/>
      </c>
      <c r="K26" s="33"/>
      <c r="L26" s="25">
        <f t="shared" si="1"/>
        <v>0</v>
      </c>
      <c r="M26" s="25">
        <f t="shared" si="2"/>
        <v>0</v>
      </c>
      <c r="N26" s="25">
        <f t="shared" si="3"/>
        <v>0</v>
      </c>
      <c r="O26" s="25">
        <f t="shared" si="4"/>
        <v>0</v>
      </c>
      <c r="P26" s="30" t="str" cm="1">
        <f t="array" ref="P26">IFERROR(IF(ISNUMBER(_xlfn.IFS(K26="RTL SPLIT",J26*D26*E26,K26="DSCR SPLIT",J26*D26,K26="TPO DSCR SPLIT",J26*D26,K26="TPO RTL SPLIT",J26*D26*E26*100)),_xlfn.IFS(K26="RTL SPLIT",J26*D26*E26,K26="DSCR SPLIT",J26*D26,K26="TPO DSCR SPLIT",J26*D26,K26="TPO RTL SPLIT",J26*D26*E26*100),""),0)</f>
        <v/>
      </c>
      <c r="Q26" s="34"/>
      <c r="R26" s="34"/>
      <c r="S26" s="25">
        <f t="shared" si="5"/>
        <v>0</v>
      </c>
      <c r="T26" s="40" cm="1">
        <f t="array" ref="T26">IFERROR(_xlfn.IFS(K26="BRIDGE",L26+S26,K26="DSCR",M26,K26="RETAIL DSCR",M26,K26="DSCR TPO",N26,K26="RTL SPLIT",P26+(S26/2),K26="DSCR SPLIT",P26,K26="TPO DSCR SPLIT",P26,K26="Bridge TPO",IF(AND(K26="BRIDGE TPO",S26&lt;0.01),O26,IF(AND(K26="Bridge TPO",$S26&gt;0,(L26+S26)&gt;(D26*0.003)),L26+S26,IF(AND(K26="Bridge TPO",$S26&gt;0,(L26+S26)&lt;(D26*0.003)),D26*0.003,0))),K26="TPO RTL SPLIT",IF(AND(K26="TPO RTL SPLIT",S26&lt;0.01),P26,IF(AND(K26="TPO RTL SPLIT",S26&gt;0,((L26/2)+(S26/2))&gt;(D26*0.0015)),(L26/2)+(S26/2),IF(AND(K26="TPO RTL SPLIT",$S26&gt;0,((L26/2)+(S26/2))&lt;(D26*0.0015)),D26*0.0015,0)))),0)</f>
        <v>0</v>
      </c>
      <c r="U26" s="42"/>
    </row>
    <row r="27" spans="1:21" x14ac:dyDescent="0.25">
      <c r="A27" s="31"/>
      <c r="B27" s="31"/>
      <c r="C27" s="31"/>
      <c r="D27" s="32"/>
      <c r="E27" s="33"/>
      <c r="F27" s="34"/>
      <c r="G27" s="34"/>
      <c r="H27" s="34"/>
      <c r="I27" s="34"/>
      <c r="J27" s="36" t="str">
        <f t="shared" si="0"/>
        <v/>
      </c>
      <c r="K27" s="33"/>
      <c r="L27" s="25">
        <f t="shared" si="1"/>
        <v>0</v>
      </c>
      <c r="M27" s="25">
        <f t="shared" si="2"/>
        <v>0</v>
      </c>
      <c r="N27" s="25">
        <f t="shared" si="3"/>
        <v>0</v>
      </c>
      <c r="O27" s="25">
        <f t="shared" si="4"/>
        <v>0</v>
      </c>
      <c r="P27" s="30" t="str" cm="1">
        <f t="array" ref="P27">IFERROR(IF(ISNUMBER(_xlfn.IFS(K27="RTL SPLIT",J27*D27*E27,K27="DSCR SPLIT",J27*D27,K27="TPO DSCR SPLIT",J27*D27,K27="TPO RTL SPLIT",J27*D27*E27*100)),_xlfn.IFS(K27="RTL SPLIT",J27*D27*E27,K27="DSCR SPLIT",J27*D27,K27="TPO DSCR SPLIT",J27*D27,K27="TPO RTL SPLIT",J27*D27*E27*100),""),0)</f>
        <v/>
      </c>
      <c r="Q27" s="34"/>
      <c r="R27" s="34"/>
      <c r="S27" s="25">
        <f t="shared" si="5"/>
        <v>0</v>
      </c>
      <c r="T27" s="40" cm="1">
        <f t="array" ref="T27">IFERROR(_xlfn.IFS(K27="BRIDGE",L27+S27,K27="DSCR",M27,K27="RETAIL DSCR",M27,K27="DSCR TPO",N27,K27="RTL SPLIT",P27+(S27/2),K27="DSCR SPLIT",P27,K27="TPO DSCR SPLIT",P27,K27="Bridge TPO",IF(AND(K27="BRIDGE TPO",S27&lt;0.01),O27,IF(AND(K27="Bridge TPO",$S27&gt;0,(L27+S27)&gt;(D27*0.003)),L27+S27,IF(AND(K27="Bridge TPO",$S27&gt;0,(L27+S27)&lt;(D27*0.003)),D27*0.003,0))),K27="TPO RTL SPLIT",IF(AND(K27="TPO RTL SPLIT",S27&lt;0.01),P27,IF(AND(K27="TPO RTL SPLIT",S27&gt;0,((L27/2)+(S27/2))&gt;(D27*0.0015)),(L27/2)+(S27/2),IF(AND(K27="TPO RTL SPLIT",$S27&gt;0,((L27/2)+(S27/2))&lt;(D27*0.0015)),D27*0.0015,0)))),0)</f>
        <v>0</v>
      </c>
      <c r="U27" s="42"/>
    </row>
    <row r="28" spans="1:21" x14ac:dyDescent="0.25">
      <c r="A28" s="31"/>
      <c r="B28" s="31"/>
      <c r="C28" s="31"/>
      <c r="D28" s="32"/>
      <c r="E28" s="33"/>
      <c r="F28" s="34"/>
      <c r="G28" s="34"/>
      <c r="H28" s="34"/>
      <c r="I28" s="34"/>
      <c r="J28" s="36" t="str">
        <f t="shared" si="0"/>
        <v/>
      </c>
      <c r="K28" s="33"/>
      <c r="L28" s="25">
        <f t="shared" si="1"/>
        <v>0</v>
      </c>
      <c r="M28" s="25">
        <f t="shared" si="2"/>
        <v>0</v>
      </c>
      <c r="N28" s="25">
        <f t="shared" si="3"/>
        <v>0</v>
      </c>
      <c r="O28" s="25">
        <f t="shared" si="4"/>
        <v>0</v>
      </c>
      <c r="P28" s="30" t="str" cm="1">
        <f t="array" ref="P28">IFERROR(IF(ISNUMBER(_xlfn.IFS(K28="RTL SPLIT",J28*D28*E28,K28="DSCR SPLIT",J28*D28,K28="TPO DSCR SPLIT",J28*D28,K28="TPO RTL SPLIT",J28*D28*E28*100)),_xlfn.IFS(K28="RTL SPLIT",J28*D28*E28,K28="DSCR SPLIT",J28*D28,K28="TPO DSCR SPLIT",J28*D28,K28="TPO RTL SPLIT",J28*D28*E28*100),""),0)</f>
        <v/>
      </c>
      <c r="Q28" s="34"/>
      <c r="R28" s="34"/>
      <c r="S28" s="25">
        <f t="shared" si="5"/>
        <v>0</v>
      </c>
      <c r="T28" s="40" cm="1">
        <f t="array" ref="T28">IFERROR(_xlfn.IFS(K28="BRIDGE",L28+S28,K28="DSCR",M28,K28="RETAIL DSCR",M28,K28="DSCR TPO",N28,K28="RTL SPLIT",P28+(S28/2),K28="DSCR SPLIT",P28,K28="TPO DSCR SPLIT",P28,K28="Bridge TPO",IF(AND(K28="BRIDGE TPO",S28&lt;0.01),O28,IF(AND(K28="Bridge TPO",$S28&gt;0,(L28+S28)&gt;(D28*0.003)),L28+S28,IF(AND(K28="Bridge TPO",$S28&gt;0,(L28+S28)&lt;(D28*0.003)),D28*0.003,0))),K28="TPO RTL SPLIT",IF(AND(K28="TPO RTL SPLIT",S28&lt;0.01),P28,IF(AND(K28="TPO RTL SPLIT",S28&gt;0,((L28/2)+(S28/2))&gt;(D28*0.0015)),(L28/2)+(S28/2),IF(AND(K28="TPO RTL SPLIT",$S28&gt;0,((L28/2)+(S28/2))&lt;(D28*0.0015)),D28*0.0015,0)))),0)</f>
        <v>0</v>
      </c>
      <c r="U28" s="42"/>
    </row>
    <row r="29" spans="1:21" x14ac:dyDescent="0.25">
      <c r="A29" s="31"/>
      <c r="B29" s="31"/>
      <c r="C29" s="31"/>
      <c r="D29" s="32"/>
      <c r="E29" s="33"/>
      <c r="F29" s="34"/>
      <c r="G29" s="34"/>
      <c r="H29" s="34"/>
      <c r="I29" s="34"/>
      <c r="J29" s="36" t="str">
        <f t="shared" si="0"/>
        <v/>
      </c>
      <c r="K29" s="33"/>
      <c r="L29" s="25">
        <f t="shared" si="1"/>
        <v>0</v>
      </c>
      <c r="M29" s="25">
        <f t="shared" si="2"/>
        <v>0</v>
      </c>
      <c r="N29" s="25">
        <f t="shared" si="3"/>
        <v>0</v>
      </c>
      <c r="O29" s="25">
        <f t="shared" si="4"/>
        <v>0</v>
      </c>
      <c r="P29" s="30" t="str" cm="1">
        <f t="array" ref="P29">IFERROR(IF(ISNUMBER(_xlfn.IFS(K29="RTL SPLIT",J29*D29*E29,K29="DSCR SPLIT",J29*D29,K29="TPO DSCR SPLIT",J29*D29,K29="TPO RTL SPLIT",J29*D29*E29*100)),_xlfn.IFS(K29="RTL SPLIT",J29*D29*E29,K29="DSCR SPLIT",J29*D29,K29="TPO DSCR SPLIT",J29*D29,K29="TPO RTL SPLIT",J29*D29*E29*100),""),0)</f>
        <v/>
      </c>
      <c r="Q29" s="34"/>
      <c r="R29" s="34"/>
      <c r="S29" s="25">
        <f t="shared" si="5"/>
        <v>0</v>
      </c>
      <c r="T29" s="40" cm="1">
        <f t="array" ref="T29">IFERROR(_xlfn.IFS(K29="BRIDGE",L29+S29,K29="DSCR",M29,K29="RETAIL DSCR",M29,K29="DSCR TPO",N29,K29="RTL SPLIT",P29+(S29/2),K29="DSCR SPLIT",P29,K29="TPO DSCR SPLIT",P29,K29="Bridge TPO",IF(AND(K29="BRIDGE TPO",S29&lt;0.01),O29,IF(AND(K29="Bridge TPO",$S29&gt;0,(L29+S29)&gt;(D29*0.003)),L29+S29,IF(AND(K29="Bridge TPO",$S29&gt;0,(L29+S29)&lt;(D29*0.003)),D29*0.003,0))),K29="TPO RTL SPLIT",IF(AND(K29="TPO RTL SPLIT",S29&lt;0.01),P29,IF(AND(K29="TPO RTL SPLIT",S29&gt;0,((L29/2)+(S29/2))&gt;(D29*0.0015)),(L29/2)+(S29/2),IF(AND(K29="TPO RTL SPLIT",$S29&gt;0,((L29/2)+(S29/2))&lt;(D29*0.0015)),D29*0.0015,0)))),0)</f>
        <v>0</v>
      </c>
      <c r="U29" s="42"/>
    </row>
    <row r="30" spans="1:21" x14ac:dyDescent="0.25">
      <c r="A30" s="31"/>
      <c r="B30" s="31"/>
      <c r="C30" s="31"/>
      <c r="D30" s="32"/>
      <c r="E30" s="33"/>
      <c r="F30" s="34"/>
      <c r="G30" s="34"/>
      <c r="H30" s="34"/>
      <c r="I30" s="34"/>
      <c r="J30" s="36" t="str">
        <f t="shared" si="0"/>
        <v/>
      </c>
      <c r="K30" s="33"/>
      <c r="L30" s="25">
        <f t="shared" si="1"/>
        <v>0</v>
      </c>
      <c r="M30" s="25">
        <f t="shared" si="2"/>
        <v>0</v>
      </c>
      <c r="N30" s="25">
        <f t="shared" si="3"/>
        <v>0</v>
      </c>
      <c r="O30" s="25">
        <f t="shared" si="4"/>
        <v>0</v>
      </c>
      <c r="P30" s="30" t="str" cm="1">
        <f t="array" ref="P30">IFERROR(IF(ISNUMBER(_xlfn.IFS(K30="RTL SPLIT",J30*D30*E30,K30="DSCR SPLIT",J30*D30,K30="TPO DSCR SPLIT",J30*D30,K30="TPO RTL SPLIT",J30*D30*E30*100)),_xlfn.IFS(K30="RTL SPLIT",J30*D30*E30,K30="DSCR SPLIT",J30*D30,K30="TPO DSCR SPLIT",J30*D30,K30="TPO RTL SPLIT",J30*D30*E30*100),""),0)</f>
        <v/>
      </c>
      <c r="Q30" s="34"/>
      <c r="R30" s="34"/>
      <c r="S30" s="25">
        <f t="shared" si="5"/>
        <v>0</v>
      </c>
      <c r="T30" s="40" cm="1">
        <f t="array" ref="T30">IFERROR(_xlfn.IFS(K30="BRIDGE",L30+S30,K30="DSCR",M30,K30="RETAIL DSCR",M30,K30="DSCR TPO",N30,K30="RTL SPLIT",P30+(S30/2),K30="DSCR SPLIT",P30,K30="TPO DSCR SPLIT",P30,K30="Bridge TPO",IF(AND(K30="BRIDGE TPO",S30&lt;0.01),O30,IF(AND(K30="Bridge TPO",$S30&gt;0,(L30+S30)&gt;(D30*0.003)),L30+S30,IF(AND(K30="Bridge TPO",$S30&gt;0,(L30+S30)&lt;(D30*0.003)),D30*0.003,0))),K30="TPO RTL SPLIT",IF(AND(K30="TPO RTL SPLIT",S30&lt;0.01),P30,IF(AND(K30="TPO RTL SPLIT",S30&gt;0,((L30/2)+(S30/2))&gt;(D30*0.0015)),(L30/2)+(S30/2),IF(AND(K30="TPO RTL SPLIT",$S30&gt;0,((L30/2)+(S30/2))&lt;(D30*0.0015)),D30*0.0015,0)))),0)</f>
        <v>0</v>
      </c>
      <c r="U30" s="42"/>
    </row>
    <row r="31" spans="1:21" x14ac:dyDescent="0.25">
      <c r="A31" s="31"/>
      <c r="B31" s="31"/>
      <c r="C31" s="31"/>
      <c r="D31" s="32"/>
      <c r="E31" s="33"/>
      <c r="F31" s="34"/>
      <c r="G31" s="34"/>
      <c r="H31" s="34"/>
      <c r="I31" s="34"/>
      <c r="J31" s="36" t="str">
        <f t="shared" si="0"/>
        <v/>
      </c>
      <c r="K31" s="33"/>
      <c r="L31" s="25">
        <f t="shared" si="1"/>
        <v>0</v>
      </c>
      <c r="M31" s="25">
        <f t="shared" si="2"/>
        <v>0</v>
      </c>
      <c r="N31" s="25">
        <f t="shared" si="3"/>
        <v>0</v>
      </c>
      <c r="O31" s="25">
        <f t="shared" si="4"/>
        <v>0</v>
      </c>
      <c r="P31" s="30" t="str" cm="1">
        <f t="array" ref="P31">IFERROR(IF(ISNUMBER(_xlfn.IFS(K31="RTL SPLIT",J31*D31*E31,K31="DSCR SPLIT",J31*D31,K31="TPO DSCR SPLIT",J31*D31,K31="TPO RTL SPLIT",J31*D31*E31*100)),_xlfn.IFS(K31="RTL SPLIT",J31*D31*E31,K31="DSCR SPLIT",J31*D31,K31="TPO DSCR SPLIT",J31*D31,K31="TPO RTL SPLIT",J31*D31*E31*100),""),0)</f>
        <v/>
      </c>
      <c r="Q31" s="34"/>
      <c r="R31" s="34"/>
      <c r="S31" s="25">
        <f t="shared" si="5"/>
        <v>0</v>
      </c>
      <c r="T31" s="40" cm="1">
        <f t="array" ref="T31">IFERROR(_xlfn.IFS(K31="BRIDGE",L31+S31,K31="DSCR",M31,K31="RETAIL DSCR",M31,K31="DSCR TPO",N31,K31="RTL SPLIT",P31+(S31/2),K31="DSCR SPLIT",P31,K31="TPO DSCR SPLIT",P31,K31="Bridge TPO",IF(AND(K31="BRIDGE TPO",S31&lt;0.01),O31,IF(AND(K31="Bridge TPO",$S31&gt;0,(L31+S31)&gt;(D31*0.003)),L31+S31,IF(AND(K31="Bridge TPO",$S31&gt;0,(L31+S31)&lt;(D31*0.003)),D31*0.003,0))),K31="TPO RTL SPLIT",IF(AND(K31="TPO RTL SPLIT",S31&lt;0.01),P31,IF(AND(K31="TPO RTL SPLIT",S31&gt;0,((L31/2)+(S31/2))&gt;(D31*0.0015)),(L31/2)+(S31/2),IF(AND(K31="TPO RTL SPLIT",$S31&gt;0,((L31/2)+(S31/2))&lt;(D31*0.0015)),D31*0.0015,0)))),0)</f>
        <v>0</v>
      </c>
      <c r="U31" s="42"/>
    </row>
    <row r="32" spans="1:21" x14ac:dyDescent="0.25">
      <c r="A32" s="31"/>
      <c r="B32" s="31"/>
      <c r="C32" s="31"/>
      <c r="D32" s="32"/>
      <c r="E32" s="33"/>
      <c r="F32" s="34"/>
      <c r="G32" s="34"/>
      <c r="H32" s="34"/>
      <c r="I32" s="34"/>
      <c r="J32" s="36" t="str">
        <f t="shared" si="0"/>
        <v/>
      </c>
      <c r="K32" s="33"/>
      <c r="L32" s="25">
        <f t="shared" si="1"/>
        <v>0</v>
      </c>
      <c r="M32" s="25">
        <f t="shared" si="2"/>
        <v>0</v>
      </c>
      <c r="N32" s="25">
        <f t="shared" si="3"/>
        <v>0</v>
      </c>
      <c r="O32" s="25">
        <f t="shared" si="4"/>
        <v>0</v>
      </c>
      <c r="P32" s="30" t="str" cm="1">
        <f t="array" ref="P32">IFERROR(IF(ISNUMBER(_xlfn.IFS(K32="RTL SPLIT",J32*D32*E32,K32="DSCR SPLIT",J32*D32,K32="TPO DSCR SPLIT",J32*D32,K32="TPO RTL SPLIT",J32*D32*E32*100)),_xlfn.IFS(K32="RTL SPLIT",J32*D32*E32,K32="DSCR SPLIT",J32*D32,K32="TPO DSCR SPLIT",J32*D32,K32="TPO RTL SPLIT",J32*D32*E32*100),""),0)</f>
        <v/>
      </c>
      <c r="Q32" s="34"/>
      <c r="R32" s="34"/>
      <c r="S32" s="25">
        <f t="shared" si="5"/>
        <v>0</v>
      </c>
      <c r="T32" s="40" cm="1">
        <f t="array" ref="T32">IFERROR(_xlfn.IFS(K32="BRIDGE",L32+S32,K32="DSCR",M32,K32="RETAIL DSCR",M32,K32="DSCR TPO",N32,K32="RTL SPLIT",P32+(S32/2),K32="DSCR SPLIT",P32,K32="TPO DSCR SPLIT",P32,K32="Bridge TPO",IF(AND(K32="BRIDGE TPO",S32&lt;0.01),O32,IF(AND(K32="Bridge TPO",$S32&gt;0,(L32+S32)&gt;(D32*0.003)),L32+S32,IF(AND(K32="Bridge TPO",$S32&gt;0,(L32+S32)&lt;(D32*0.003)),D32*0.003,0))),K32="TPO RTL SPLIT",IF(AND(K32="TPO RTL SPLIT",S32&lt;0.01),P32,IF(AND(K32="TPO RTL SPLIT",S32&gt;0,((L32/2)+(S32/2))&gt;(D32*0.0015)),(L32/2)+(S32/2),IF(AND(K32="TPO RTL SPLIT",$S32&gt;0,((L32/2)+(S32/2))&lt;(D32*0.0015)),D32*0.0015,0)))),0)</f>
        <v>0</v>
      </c>
      <c r="U32" s="42"/>
    </row>
    <row r="33" spans="1:21" x14ac:dyDescent="0.25">
      <c r="A33" s="31"/>
      <c r="B33" s="31"/>
      <c r="C33" s="31"/>
      <c r="D33" s="32"/>
      <c r="E33" s="33"/>
      <c r="F33" s="34"/>
      <c r="G33" s="34"/>
      <c r="H33" s="34"/>
      <c r="I33" s="34"/>
      <c r="J33" s="36" t="str">
        <f t="shared" si="0"/>
        <v/>
      </c>
      <c r="K33" s="33"/>
      <c r="L33" s="25">
        <f t="shared" si="1"/>
        <v>0</v>
      </c>
      <c r="M33" s="25">
        <f t="shared" si="2"/>
        <v>0</v>
      </c>
      <c r="N33" s="25">
        <f t="shared" si="3"/>
        <v>0</v>
      </c>
      <c r="O33" s="25">
        <f t="shared" si="4"/>
        <v>0</v>
      </c>
      <c r="P33" s="30" t="str" cm="1">
        <f t="array" ref="P33">IFERROR(IF(ISNUMBER(_xlfn.IFS(K33="RTL SPLIT",J33*D33*E33,K33="DSCR SPLIT",J33*D33,K33="TPO DSCR SPLIT",J33*D33,K33="TPO RTL SPLIT",J33*D33*E33*100)),_xlfn.IFS(K33="RTL SPLIT",J33*D33*E33,K33="DSCR SPLIT",J33*D33,K33="TPO DSCR SPLIT",J33*D33,K33="TPO RTL SPLIT",J33*D33*E33*100),""),0)</f>
        <v/>
      </c>
      <c r="Q33" s="34"/>
      <c r="R33" s="34"/>
      <c r="S33" s="25">
        <f t="shared" si="5"/>
        <v>0</v>
      </c>
      <c r="T33" s="40" cm="1">
        <f t="array" ref="T33">IFERROR(_xlfn.IFS(K33="BRIDGE",L33+S33,K33="DSCR",M33,K33="RETAIL DSCR",M33,K33="DSCR TPO",N33,K33="RTL SPLIT",P33+(S33/2),K33="DSCR SPLIT",P33,K33="TPO DSCR SPLIT",P33,K33="Bridge TPO",IF(AND(K33="BRIDGE TPO",S33&lt;0.01),O33,IF(AND(K33="Bridge TPO",$S33&gt;0,(L33+S33)&gt;(D33*0.003)),L33+S33,IF(AND(K33="Bridge TPO",$S33&gt;0,(L33+S33)&lt;(D33*0.003)),D33*0.003,0))),K33="TPO RTL SPLIT",IF(AND(K33="TPO RTL SPLIT",S33&lt;0.01),P33,IF(AND(K33="TPO RTL SPLIT",S33&gt;0,((L33/2)+(S33/2))&gt;(D33*0.0015)),(L33/2)+(S33/2),IF(AND(K33="TPO RTL SPLIT",$S33&gt;0,((L33/2)+(S33/2))&lt;(D33*0.0015)),D33*0.0015,0)))),0)</f>
        <v>0</v>
      </c>
      <c r="U33" s="42"/>
    </row>
    <row r="34" spans="1:21" x14ac:dyDescent="0.25">
      <c r="A34" s="31"/>
      <c r="B34" s="31"/>
      <c r="C34" s="31"/>
      <c r="D34" s="32"/>
      <c r="E34" s="33"/>
      <c r="F34" s="34"/>
      <c r="G34" s="34"/>
      <c r="H34" s="34"/>
      <c r="I34" s="34"/>
      <c r="J34" s="36" t="str">
        <f t="shared" si="0"/>
        <v/>
      </c>
      <c r="K34" s="33"/>
      <c r="L34" s="25">
        <f t="shared" si="1"/>
        <v>0</v>
      </c>
      <c r="M34" s="25">
        <f t="shared" si="2"/>
        <v>0</v>
      </c>
      <c r="N34" s="25">
        <f t="shared" si="3"/>
        <v>0</v>
      </c>
      <c r="O34" s="25">
        <f t="shared" si="4"/>
        <v>0</v>
      </c>
      <c r="P34" s="30" t="str" cm="1">
        <f t="array" ref="P34">IFERROR(IF(ISNUMBER(_xlfn.IFS(K34="RTL SPLIT",J34*D34*E34,K34="DSCR SPLIT",J34*D34,K34="TPO DSCR SPLIT",J34*D34,K34="TPO RTL SPLIT",J34*D34*E34*100)),_xlfn.IFS(K34="RTL SPLIT",J34*D34*E34,K34="DSCR SPLIT",J34*D34,K34="TPO DSCR SPLIT",J34*D34,K34="TPO RTL SPLIT",J34*D34*E34*100),""),0)</f>
        <v/>
      </c>
      <c r="Q34" s="34"/>
      <c r="R34" s="34"/>
      <c r="S34" s="25">
        <f t="shared" si="5"/>
        <v>0</v>
      </c>
      <c r="T34" s="40" cm="1">
        <f t="array" ref="T34">IFERROR(_xlfn.IFS(K34="BRIDGE",L34+S34,K34="DSCR",M34,K34="RETAIL DSCR",M34,K34="DSCR TPO",N34,K34="RTL SPLIT",P34+(S34/2),K34="DSCR SPLIT",P34,K34="TPO DSCR SPLIT",P34,K34="Bridge TPO",IF(AND(K34="BRIDGE TPO",S34&lt;0.01),O34,IF(AND(K34="Bridge TPO",$S34&gt;0,(L34+S34)&gt;(D34*0.003)),L34+S34,IF(AND(K34="Bridge TPO",$S34&gt;0,(L34+S34)&lt;(D34*0.003)),D34*0.003,0))),K34="TPO RTL SPLIT",IF(AND(K34="TPO RTL SPLIT",S34&lt;0.01),P34,IF(AND(K34="TPO RTL SPLIT",S34&gt;0,((L34/2)+(S34/2))&gt;(D34*0.0015)),(L34/2)+(S34/2),IF(AND(K34="TPO RTL SPLIT",$S34&gt;0,((L34/2)+(S34/2))&lt;(D34*0.0015)),D34*0.0015,0)))),0)</f>
        <v>0</v>
      </c>
      <c r="U34" s="42"/>
    </row>
    <row r="35" spans="1:21" x14ac:dyDescent="0.25">
      <c r="A35" s="31"/>
      <c r="B35" s="31"/>
      <c r="C35" s="31"/>
      <c r="D35" s="32"/>
      <c r="E35" s="33"/>
      <c r="F35" s="34"/>
      <c r="G35" s="34"/>
      <c r="H35" s="34"/>
      <c r="I35" s="34"/>
      <c r="J35" s="36" t="str">
        <f t="shared" si="0"/>
        <v/>
      </c>
      <c r="K35" s="33"/>
      <c r="L35" s="25">
        <f t="shared" si="1"/>
        <v>0</v>
      </c>
      <c r="M35" s="25">
        <f t="shared" si="2"/>
        <v>0</v>
      </c>
      <c r="N35" s="25">
        <f t="shared" si="3"/>
        <v>0</v>
      </c>
      <c r="O35" s="25">
        <f t="shared" si="4"/>
        <v>0</v>
      </c>
      <c r="P35" s="30" t="str" cm="1">
        <f t="array" ref="P35">IFERROR(IF(ISNUMBER(_xlfn.IFS(K35="RTL SPLIT",J35*D35*E35,K35="DSCR SPLIT",J35*D35,K35="TPO DSCR SPLIT",J35*D35,K35="TPO RTL SPLIT",J35*D35*E35*100)),_xlfn.IFS(K35="RTL SPLIT",J35*D35*E35,K35="DSCR SPLIT",J35*D35,K35="TPO DSCR SPLIT",J35*D35,K35="TPO RTL SPLIT",J35*D35*E35*100),""),0)</f>
        <v/>
      </c>
      <c r="Q35" s="34"/>
      <c r="R35" s="34"/>
      <c r="S35" s="25">
        <f t="shared" si="5"/>
        <v>0</v>
      </c>
      <c r="T35" s="40" cm="1">
        <f t="array" ref="T35">IFERROR(_xlfn.IFS(K35="BRIDGE",L35+S35,K35="DSCR",M35,K35="RETAIL DSCR",M35,K35="DSCR TPO",N35,K35="RTL SPLIT",P35+(S35/2),K35="DSCR SPLIT",P35,K35="TPO DSCR SPLIT",P35,K35="Bridge TPO",IF(AND(K35="BRIDGE TPO",S35&lt;0.01),O35,IF(AND(K35="Bridge TPO",$S35&gt;0,(L35+S35)&gt;(D35*0.003)),L35+S35,IF(AND(K35="Bridge TPO",$S35&gt;0,(L35+S35)&lt;(D35*0.003)),D35*0.003,0))),K35="TPO RTL SPLIT",IF(AND(K35="TPO RTL SPLIT",S35&lt;0.01),P35,IF(AND(K35="TPO RTL SPLIT",S35&gt;0,((L35/2)+(S35/2))&gt;(D35*0.0015)),(L35/2)+(S35/2),IF(AND(K35="TPO RTL SPLIT",$S35&gt;0,((L35/2)+(S35/2))&lt;(D35*0.0015)),D35*0.0015,0)))),0)</f>
        <v>0</v>
      </c>
      <c r="U35" s="42"/>
    </row>
    <row r="36" spans="1:21" ht="15.75" thickBot="1" x14ac:dyDescent="0.3">
      <c r="A36" s="27" t="s">
        <v>3</v>
      </c>
      <c r="B36" s="27"/>
      <c r="C36" s="27"/>
      <c r="D36" s="24">
        <f>SUM(D12:D35)</f>
        <v>4810551</v>
      </c>
      <c r="E36" s="28">
        <f>AVERAGE(E12:E35)</f>
        <v>6.7999999999999988E-3</v>
      </c>
      <c r="F36" s="28">
        <f>AVERAGE(F12:F35)</f>
        <v>6.0000000000000012E-2</v>
      </c>
      <c r="G36" s="28">
        <f>AVERAGE(G12:G35)</f>
        <v>3.5000000000000005E-3</v>
      </c>
      <c r="H36" s="28">
        <f>AVERAGE(H12:H35)</f>
        <v>0</v>
      </c>
      <c r="I36" s="28"/>
      <c r="J36" s="28" t="e">
        <f>AVERAGE(J12:J35)</f>
        <v>#DIV/0!</v>
      </c>
      <c r="K36" s="28"/>
      <c r="L36" s="26">
        <f>SUM(L12:L35)</f>
        <v>3682.0529999999999</v>
      </c>
      <c r="M36" s="26">
        <f>SUM(M12:M35)</f>
        <v>15943.5</v>
      </c>
      <c r="N36" s="26">
        <f>SUM(N12:N35)</f>
        <v>0</v>
      </c>
      <c r="O36" s="26">
        <f>SUM(O12:O35)</f>
        <v>0</v>
      </c>
      <c r="P36" s="26">
        <f>SUM(P12:P35)</f>
        <v>0</v>
      </c>
      <c r="Q36" s="26"/>
      <c r="R36" s="26"/>
      <c r="S36" s="26"/>
      <c r="T36" s="26">
        <f>SUM(T12:T35)</f>
        <v>22314.545440949998</v>
      </c>
    </row>
    <row r="37" spans="1:21" x14ac:dyDescent="0.25">
      <c r="G37" s="16"/>
      <c r="H37" s="16"/>
      <c r="I37" s="16"/>
      <c r="J37" s="16"/>
      <c r="L37" s="17"/>
      <c r="M37" s="17"/>
      <c r="N37" s="17"/>
      <c r="O37" s="17"/>
      <c r="P37" s="17"/>
      <c r="Q37" s="17"/>
      <c r="R37" s="17"/>
      <c r="S37" s="17"/>
    </row>
    <row r="38" spans="1:21" x14ac:dyDescent="0.25">
      <c r="A38" s="1" t="s">
        <v>5</v>
      </c>
      <c r="B38" s="1"/>
      <c r="C38" s="1"/>
      <c r="D38" s="1" t="s">
        <v>10</v>
      </c>
      <c r="E38" s="1" t="s">
        <v>11</v>
      </c>
    </row>
    <row r="39" spans="1:21" x14ac:dyDescent="0.25">
      <c r="A39" s="6"/>
      <c r="B39" s="6"/>
      <c r="C39" s="6"/>
      <c r="E39"/>
      <c r="F39" s="6"/>
      <c r="G39" s="3"/>
      <c r="H39" s="3"/>
      <c r="I39" s="3"/>
      <c r="J39" s="3"/>
      <c r="K39" s="6"/>
      <c r="L39" s="7"/>
      <c r="M39" s="7"/>
      <c r="N39" s="7"/>
      <c r="O39" s="7"/>
      <c r="P39" s="7"/>
      <c r="Q39" s="7"/>
      <c r="R39" s="7"/>
      <c r="S39" s="7"/>
      <c r="T39" s="6"/>
    </row>
  </sheetData>
  <mergeCells count="4">
    <mergeCell ref="A3:D3"/>
    <mergeCell ref="A2:D2"/>
    <mergeCell ref="A1:D1"/>
    <mergeCell ref="C5:E8"/>
  </mergeCells>
  <hyperlinks>
    <hyperlink ref="A8" r:id="rId1" xr:uid="{0613BFD4-1691-064F-866B-914DBC12950A}"/>
  </hyperlinks>
  <pageMargins left="0.7" right="0.7" top="0.75" bottom="0.75" header="0.3" footer="0.3"/>
  <pageSetup scale="77" orientation="portrait"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4FD5597-458E-4DF7-819A-F9F520B596C4}">
          <x14:formula1>
            <xm:f>Data!$B$2:$B$30</xm:f>
          </x14:formula1>
          <xm:sqref>K11:K35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DDADD-2F19-4013-88F1-56BE36A03905}">
  <dimension ref="B2:B30"/>
  <sheetViews>
    <sheetView workbookViewId="0">
      <selection activeCell="B12" sqref="B11:B12"/>
    </sheetView>
  </sheetViews>
  <sheetFormatPr defaultColWidth="8.5703125" defaultRowHeight="15" x14ac:dyDescent="0.25"/>
  <cols>
    <col min="2" max="2" width="14" bestFit="1" customWidth="1"/>
  </cols>
  <sheetData>
    <row r="2" spans="2:2" x14ac:dyDescent="0.25">
      <c r="B2" s="39" t="s">
        <v>33</v>
      </c>
    </row>
    <row r="3" spans="2:2" x14ac:dyDescent="0.25">
      <c r="B3" s="39" t="s">
        <v>26</v>
      </c>
    </row>
    <row r="4" spans="2:2" x14ac:dyDescent="0.25">
      <c r="B4" s="39" t="s">
        <v>30</v>
      </c>
    </row>
    <row r="5" spans="2:2" x14ac:dyDescent="0.25">
      <c r="B5" s="39" t="s">
        <v>31</v>
      </c>
    </row>
    <row r="6" spans="2:2" x14ac:dyDescent="0.25">
      <c r="B6" s="39" t="s">
        <v>19</v>
      </c>
    </row>
    <row r="7" spans="2:2" x14ac:dyDescent="0.25">
      <c r="B7" s="39" t="s">
        <v>37</v>
      </c>
    </row>
    <row r="8" spans="2:2" x14ac:dyDescent="0.25">
      <c r="B8" s="39" t="s">
        <v>25</v>
      </c>
    </row>
    <row r="9" spans="2:2" x14ac:dyDescent="0.25">
      <c r="B9" s="39" t="s">
        <v>29</v>
      </c>
    </row>
    <row r="10" spans="2:2" x14ac:dyDescent="0.25">
      <c r="B10" s="39" t="s">
        <v>32</v>
      </c>
    </row>
    <row r="11" spans="2:2" x14ac:dyDescent="0.25">
      <c r="B11" s="39"/>
    </row>
    <row r="12" spans="2:2" x14ac:dyDescent="0.25">
      <c r="B12" s="39"/>
    </row>
    <row r="13" spans="2:2" x14ac:dyDescent="0.25">
      <c r="B13" s="39"/>
    </row>
    <row r="14" spans="2:2" x14ac:dyDescent="0.25">
      <c r="B14" s="39"/>
    </row>
    <row r="15" spans="2:2" x14ac:dyDescent="0.25">
      <c r="B15" s="39"/>
    </row>
    <row r="16" spans="2:2" x14ac:dyDescent="0.25">
      <c r="B16" s="39"/>
    </row>
    <row r="17" spans="2:2" x14ac:dyDescent="0.25">
      <c r="B17" s="39"/>
    </row>
    <row r="18" spans="2:2" x14ac:dyDescent="0.25">
      <c r="B18" s="39"/>
    </row>
    <row r="19" spans="2:2" x14ac:dyDescent="0.25">
      <c r="B19" s="39"/>
    </row>
    <row r="20" spans="2:2" x14ac:dyDescent="0.25">
      <c r="B20" s="39"/>
    </row>
    <row r="21" spans="2:2" x14ac:dyDescent="0.25">
      <c r="B21" s="39"/>
    </row>
    <row r="22" spans="2:2" x14ac:dyDescent="0.25">
      <c r="B22" s="39"/>
    </row>
    <row r="23" spans="2:2" x14ac:dyDescent="0.25">
      <c r="B23" s="39"/>
    </row>
    <row r="24" spans="2:2" x14ac:dyDescent="0.25">
      <c r="B24" s="39"/>
    </row>
    <row r="25" spans="2:2" x14ac:dyDescent="0.25">
      <c r="B25" s="39"/>
    </row>
    <row r="26" spans="2:2" x14ac:dyDescent="0.25">
      <c r="B26" s="39"/>
    </row>
    <row r="27" spans="2:2" x14ac:dyDescent="0.25">
      <c r="B27" s="39"/>
    </row>
    <row r="28" spans="2:2" x14ac:dyDescent="0.25">
      <c r="B28" s="39"/>
    </row>
    <row r="29" spans="2:2" x14ac:dyDescent="0.25">
      <c r="B29" s="39"/>
    </row>
    <row r="30" spans="2:2" x14ac:dyDescent="0.25">
      <c r="B30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Commission Request</vt:lpstr>
      <vt:lpstr>Data</vt:lpstr>
      <vt:lpstr>'Commission Request'!Print_Area</vt:lpstr>
    </vt:vector>
  </TitlesOfParts>
  <Company>myitpros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Smith</dc:creator>
  <cp:lastModifiedBy>Riley Bishop</cp:lastModifiedBy>
  <cp:lastPrinted>2017-01-04T22:11:17Z</cp:lastPrinted>
  <dcterms:created xsi:type="dcterms:W3CDTF">2016-11-21T20:15:55Z</dcterms:created>
  <dcterms:modified xsi:type="dcterms:W3CDTF">2025-11-25T19:55:00Z</dcterms:modified>
</cp:coreProperties>
</file>