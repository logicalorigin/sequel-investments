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asystreetcapitol-my.sharepoint.com/personal/rileyb_easystreetcap_com/Documents/Desktop/3. Commission &amp; Expense Reports/1. Commission Reports/"/>
    </mc:Choice>
  </mc:AlternateContent>
  <xr:revisionPtr revIDLastSave="14" documentId="8_{3F6889AF-DD97-4C8F-B974-7FEAD8C27956}" xr6:coauthVersionLast="47" xr6:coauthVersionMax="47" xr10:uidLastSave="{0B3224D7-7DC0-4D14-A989-A11E07F55901}"/>
  <bookViews>
    <workbookView xWindow="-10155" yWindow="-29265" windowWidth="21600" windowHeight="11295" xr2:uid="{00000000-000D-0000-FFFF-FFFF00000000}"/>
  </bookViews>
  <sheets>
    <sheet name="Commission Request" sheetId="1" r:id="rId1"/>
    <sheet name="Data" sheetId="2" state="hidden" r:id="rId2"/>
  </sheets>
  <definedNames>
    <definedName name="_xlnm.Print_Area" localSheetId="0">'Commission Request'!$A$1:$U$61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4" i="1" l="1"/>
  <c r="M14" i="1"/>
  <c r="N14" i="1"/>
  <c r="O14" i="1"/>
  <c r="P14" i="1" a="1"/>
  <c r="P14" i="1" s="1"/>
  <c r="S14" i="1"/>
  <c r="T14" i="1" s="1" a="1"/>
  <c r="T14" i="1" s="1"/>
  <c r="L15" i="1"/>
  <c r="T15" i="1" s="1" a="1"/>
  <c r="T15" i="1" s="1"/>
  <c r="M15" i="1"/>
  <c r="N15" i="1"/>
  <c r="O15" i="1"/>
  <c r="P15" i="1" a="1"/>
  <c r="P15" i="1" s="1"/>
  <c r="S15" i="1"/>
  <c r="L16" i="1"/>
  <c r="M16" i="1"/>
  <c r="N16" i="1"/>
  <c r="O16" i="1"/>
  <c r="S16" i="1"/>
  <c r="T17" i="1" a="1"/>
  <c r="T17" i="1"/>
  <c r="T18" i="1" a="1"/>
  <c r="T18" i="1"/>
  <c r="T19" i="1" a="1"/>
  <c r="T19" i="1" s="1"/>
  <c r="T20" i="1" a="1"/>
  <c r="T20" i="1"/>
  <c r="T21" i="1" a="1"/>
  <c r="T21" i="1"/>
  <c r="T22" i="1" a="1"/>
  <c r="T22" i="1" s="1"/>
  <c r="T23" i="1" a="1"/>
  <c r="T23" i="1"/>
  <c r="T24" i="1" a="1"/>
  <c r="T24" i="1"/>
  <c r="T25" i="1" a="1"/>
  <c r="T25" i="1" s="1"/>
  <c r="T26" i="1" a="1"/>
  <c r="T26" i="1"/>
  <c r="T27" i="1" a="1"/>
  <c r="T27" i="1"/>
  <c r="T28" i="1" a="1"/>
  <c r="T28" i="1" s="1"/>
  <c r="T29" i="1" a="1"/>
  <c r="T29" i="1"/>
  <c r="T30" i="1" a="1"/>
  <c r="T30" i="1"/>
  <c r="T31" i="1" a="1"/>
  <c r="T31" i="1" s="1"/>
  <c r="T32" i="1" a="1"/>
  <c r="T32" i="1"/>
  <c r="T33" i="1" a="1"/>
  <c r="T33" i="1"/>
  <c r="T34" i="1" a="1"/>
  <c r="T34" i="1" s="1"/>
  <c r="T35" i="1" a="1"/>
  <c r="T35" i="1"/>
  <c r="T36" i="1" a="1"/>
  <c r="T36" i="1"/>
  <c r="T37" i="1" a="1"/>
  <c r="T37" i="1" s="1"/>
  <c r="T38" i="1" a="1"/>
  <c r="T38" i="1"/>
  <c r="T39" i="1" a="1"/>
  <c r="T39" i="1"/>
  <c r="T40" i="1" a="1"/>
  <c r="T40" i="1" s="1"/>
  <c r="T41" i="1" a="1"/>
  <c r="T41" i="1"/>
  <c r="T42" i="1" a="1"/>
  <c r="T42" i="1"/>
  <c r="T43" i="1" a="1"/>
  <c r="T43" i="1" s="1"/>
  <c r="T44" i="1" a="1"/>
  <c r="T44" i="1" s="1"/>
  <c r="T45" i="1" a="1"/>
  <c r="T45" i="1"/>
  <c r="T46" i="1" a="1"/>
  <c r="T46" i="1" s="1"/>
  <c r="T47" i="1" a="1"/>
  <c r="T47" i="1"/>
  <c r="T48" i="1" a="1"/>
  <c r="T48" i="1"/>
  <c r="T49" i="1" a="1"/>
  <c r="T49" i="1" s="1"/>
  <c r="T50" i="1" a="1"/>
  <c r="T50" i="1"/>
  <c r="T51" i="1" a="1"/>
  <c r="T51" i="1" s="1"/>
  <c r="T52" i="1" a="1"/>
  <c r="T52" i="1" s="1"/>
  <c r="T53" i="1" a="1"/>
  <c r="T53" i="1"/>
  <c r="T54" i="1" a="1"/>
  <c r="T54" i="1"/>
  <c r="T55" i="1" a="1"/>
  <c r="T55" i="1" s="1"/>
  <c r="T56" i="1" a="1"/>
  <c r="T56" i="1"/>
  <c r="T57" i="1" a="1"/>
  <c r="T57" i="1" s="1"/>
  <c r="S12" i="1" l="1"/>
  <c r="S13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11" i="1"/>
  <c r="J12" i="1"/>
  <c r="P12" i="1" s="1" a="1"/>
  <c r="P12" i="1" s="1"/>
  <c r="J13" i="1"/>
  <c r="P13" i="1" s="1" a="1"/>
  <c r="P13" i="1" s="1"/>
  <c r="J16" i="1"/>
  <c r="P16" i="1" s="1" a="1"/>
  <c r="P16" i="1" s="1"/>
  <c r="T16" i="1" s="1" a="1"/>
  <c r="T16" i="1" s="1"/>
  <c r="J17" i="1"/>
  <c r="P17" i="1" s="1" a="1"/>
  <c r="P17" i="1" s="1"/>
  <c r="J18" i="1"/>
  <c r="P18" i="1" s="1" a="1"/>
  <c r="P18" i="1" s="1"/>
  <c r="J19" i="1"/>
  <c r="P19" i="1" s="1" a="1"/>
  <c r="P19" i="1" s="1"/>
  <c r="J20" i="1"/>
  <c r="P20" i="1" s="1" a="1"/>
  <c r="P20" i="1" s="1"/>
  <c r="J21" i="1"/>
  <c r="P21" i="1" s="1" a="1"/>
  <c r="P21" i="1" s="1"/>
  <c r="J22" i="1"/>
  <c r="P22" i="1" s="1" a="1"/>
  <c r="P22" i="1" s="1"/>
  <c r="J23" i="1"/>
  <c r="P23" i="1" s="1" a="1"/>
  <c r="P23" i="1" s="1"/>
  <c r="J24" i="1"/>
  <c r="P24" i="1" s="1" a="1"/>
  <c r="P24" i="1" s="1"/>
  <c r="J25" i="1"/>
  <c r="P25" i="1" s="1" a="1"/>
  <c r="P25" i="1" s="1"/>
  <c r="J26" i="1"/>
  <c r="P26" i="1" s="1" a="1"/>
  <c r="P26" i="1" s="1"/>
  <c r="J27" i="1"/>
  <c r="P27" i="1" s="1" a="1"/>
  <c r="P27" i="1" s="1"/>
  <c r="J28" i="1"/>
  <c r="P28" i="1" s="1" a="1"/>
  <c r="P28" i="1" s="1"/>
  <c r="J29" i="1"/>
  <c r="P29" i="1" s="1" a="1"/>
  <c r="P29" i="1" s="1"/>
  <c r="J30" i="1"/>
  <c r="P30" i="1" s="1" a="1"/>
  <c r="P30" i="1" s="1"/>
  <c r="J31" i="1"/>
  <c r="P31" i="1" s="1" a="1"/>
  <c r="P31" i="1" s="1"/>
  <c r="J32" i="1"/>
  <c r="P32" i="1" s="1" a="1"/>
  <c r="P32" i="1" s="1"/>
  <c r="J33" i="1"/>
  <c r="P33" i="1" s="1" a="1"/>
  <c r="P33" i="1" s="1"/>
  <c r="J34" i="1"/>
  <c r="P34" i="1" s="1" a="1"/>
  <c r="P34" i="1" s="1"/>
  <c r="J35" i="1"/>
  <c r="P35" i="1" s="1" a="1"/>
  <c r="P35" i="1" s="1"/>
  <c r="J36" i="1"/>
  <c r="P36" i="1" s="1" a="1"/>
  <c r="P36" i="1" s="1"/>
  <c r="J37" i="1"/>
  <c r="P37" i="1" s="1" a="1"/>
  <c r="P37" i="1" s="1"/>
  <c r="J38" i="1"/>
  <c r="P38" i="1" s="1" a="1"/>
  <c r="P38" i="1" s="1"/>
  <c r="J39" i="1"/>
  <c r="P39" i="1" s="1" a="1"/>
  <c r="P39" i="1" s="1"/>
  <c r="J40" i="1"/>
  <c r="P40" i="1" s="1" a="1"/>
  <c r="P40" i="1" s="1"/>
  <c r="J41" i="1"/>
  <c r="P41" i="1" s="1" a="1"/>
  <c r="P41" i="1" s="1"/>
  <c r="J42" i="1"/>
  <c r="P42" i="1" s="1" a="1"/>
  <c r="P42" i="1" s="1"/>
  <c r="J43" i="1"/>
  <c r="P43" i="1" s="1" a="1"/>
  <c r="P43" i="1" s="1"/>
  <c r="J44" i="1"/>
  <c r="P44" i="1" s="1" a="1"/>
  <c r="P44" i="1" s="1"/>
  <c r="J45" i="1"/>
  <c r="P45" i="1" s="1" a="1"/>
  <c r="P45" i="1" s="1"/>
  <c r="J46" i="1"/>
  <c r="P46" i="1" s="1" a="1"/>
  <c r="P46" i="1" s="1"/>
  <c r="J47" i="1"/>
  <c r="P47" i="1" s="1" a="1"/>
  <c r="P47" i="1" s="1"/>
  <c r="J48" i="1"/>
  <c r="P48" i="1" s="1" a="1"/>
  <c r="P48" i="1" s="1"/>
  <c r="J49" i="1"/>
  <c r="P49" i="1" s="1" a="1"/>
  <c r="P49" i="1" s="1"/>
  <c r="J50" i="1"/>
  <c r="P50" i="1" s="1" a="1"/>
  <c r="P50" i="1" s="1"/>
  <c r="J51" i="1"/>
  <c r="P51" i="1" s="1" a="1"/>
  <c r="P51" i="1" s="1"/>
  <c r="J52" i="1"/>
  <c r="P52" i="1" s="1" a="1"/>
  <c r="P52" i="1" s="1"/>
  <c r="J53" i="1"/>
  <c r="P53" i="1" s="1" a="1"/>
  <c r="P53" i="1" s="1"/>
  <c r="J54" i="1"/>
  <c r="P54" i="1" s="1" a="1"/>
  <c r="P54" i="1" s="1"/>
  <c r="J55" i="1"/>
  <c r="P55" i="1" s="1" a="1"/>
  <c r="P55" i="1" s="1"/>
  <c r="J56" i="1"/>
  <c r="P56" i="1" s="1" a="1"/>
  <c r="P56" i="1" s="1"/>
  <c r="J57" i="1"/>
  <c r="P57" i="1" s="1" a="1"/>
  <c r="P57" i="1" s="1"/>
  <c r="J11" i="1"/>
  <c r="P11" i="1" s="1" a="1"/>
  <c r="P11" i="1" s="1"/>
  <c r="M12" i="1" l="1"/>
  <c r="M13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L12" i="1"/>
  <c r="T12" i="1" s="1" a="1"/>
  <c r="T12" i="1" s="1"/>
  <c r="N12" i="1"/>
  <c r="O12" i="1"/>
  <c r="L13" i="1"/>
  <c r="T13" i="1" s="1" a="1"/>
  <c r="T13" i="1" s="1"/>
  <c r="N13" i="1"/>
  <c r="O13" i="1"/>
  <c r="L17" i="1"/>
  <c r="N17" i="1"/>
  <c r="O17" i="1"/>
  <c r="L18" i="1"/>
  <c r="N18" i="1"/>
  <c r="O18" i="1"/>
  <c r="L19" i="1"/>
  <c r="N19" i="1"/>
  <c r="O19" i="1"/>
  <c r="L20" i="1"/>
  <c r="N20" i="1"/>
  <c r="O20" i="1"/>
  <c r="L21" i="1"/>
  <c r="N21" i="1"/>
  <c r="O21" i="1"/>
  <c r="L22" i="1"/>
  <c r="N22" i="1"/>
  <c r="O22" i="1"/>
  <c r="L23" i="1"/>
  <c r="N23" i="1"/>
  <c r="O23" i="1"/>
  <c r="L24" i="1"/>
  <c r="N24" i="1"/>
  <c r="O24" i="1"/>
  <c r="L25" i="1"/>
  <c r="N25" i="1"/>
  <c r="O25" i="1"/>
  <c r="L26" i="1"/>
  <c r="N26" i="1"/>
  <c r="O26" i="1"/>
  <c r="L27" i="1"/>
  <c r="N27" i="1"/>
  <c r="O27" i="1"/>
  <c r="L28" i="1"/>
  <c r="N28" i="1"/>
  <c r="O28" i="1"/>
  <c r="L29" i="1"/>
  <c r="N29" i="1"/>
  <c r="O29" i="1"/>
  <c r="L30" i="1"/>
  <c r="N30" i="1"/>
  <c r="O30" i="1"/>
  <c r="L31" i="1"/>
  <c r="N31" i="1"/>
  <c r="O31" i="1"/>
  <c r="L32" i="1"/>
  <c r="N32" i="1"/>
  <c r="O32" i="1"/>
  <c r="L33" i="1"/>
  <c r="N33" i="1"/>
  <c r="O33" i="1"/>
  <c r="L34" i="1"/>
  <c r="N34" i="1"/>
  <c r="O34" i="1"/>
  <c r="L35" i="1"/>
  <c r="N35" i="1"/>
  <c r="O35" i="1"/>
  <c r="L36" i="1"/>
  <c r="N36" i="1"/>
  <c r="O36" i="1"/>
  <c r="L37" i="1"/>
  <c r="N37" i="1"/>
  <c r="O37" i="1"/>
  <c r="L38" i="1"/>
  <c r="N38" i="1"/>
  <c r="O38" i="1"/>
  <c r="L39" i="1"/>
  <c r="N39" i="1"/>
  <c r="O39" i="1"/>
  <c r="L40" i="1"/>
  <c r="N40" i="1"/>
  <c r="O40" i="1"/>
  <c r="L41" i="1"/>
  <c r="N41" i="1"/>
  <c r="O41" i="1"/>
  <c r="L42" i="1"/>
  <c r="N42" i="1"/>
  <c r="O42" i="1"/>
  <c r="L43" i="1"/>
  <c r="N43" i="1"/>
  <c r="O43" i="1"/>
  <c r="L44" i="1"/>
  <c r="N44" i="1"/>
  <c r="O44" i="1"/>
  <c r="L45" i="1"/>
  <c r="N45" i="1"/>
  <c r="O45" i="1"/>
  <c r="L46" i="1"/>
  <c r="N46" i="1"/>
  <c r="O46" i="1"/>
  <c r="L47" i="1"/>
  <c r="N47" i="1"/>
  <c r="O47" i="1"/>
  <c r="L48" i="1"/>
  <c r="N48" i="1"/>
  <c r="O48" i="1"/>
  <c r="L49" i="1"/>
  <c r="N49" i="1"/>
  <c r="O49" i="1"/>
  <c r="L50" i="1"/>
  <c r="N50" i="1"/>
  <c r="O50" i="1"/>
  <c r="L51" i="1"/>
  <c r="N51" i="1"/>
  <c r="O51" i="1"/>
  <c r="L52" i="1"/>
  <c r="N52" i="1"/>
  <c r="O52" i="1"/>
  <c r="L53" i="1"/>
  <c r="N53" i="1"/>
  <c r="O53" i="1"/>
  <c r="L54" i="1"/>
  <c r="N54" i="1"/>
  <c r="O54" i="1"/>
  <c r="L55" i="1"/>
  <c r="N55" i="1"/>
  <c r="O55" i="1"/>
  <c r="L56" i="1"/>
  <c r="N56" i="1"/>
  <c r="O56" i="1"/>
  <c r="L57" i="1"/>
  <c r="N57" i="1"/>
  <c r="O57" i="1"/>
  <c r="L11" i="1"/>
  <c r="T11" i="1" s="1" a="1"/>
  <c r="T11" i="1" s="1"/>
  <c r="M11" i="1"/>
  <c r="O11" i="1"/>
  <c r="N11" i="1"/>
  <c r="T58" i="1" l="1"/>
  <c r="O58" i="1"/>
  <c r="P58" i="1"/>
  <c r="J58" i="1"/>
  <c r="F58" i="1"/>
  <c r="G58" i="1"/>
  <c r="H58" i="1"/>
  <c r="E58" i="1"/>
  <c r="M58" i="1" l="1"/>
  <c r="L58" i="1"/>
  <c r="D58" i="1"/>
  <c r="N5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<sst xmlns="http://schemas.openxmlformats.org/spreadsheetml/2006/main" count="64" uniqueCount="59">
  <si>
    <t>Invoice</t>
  </si>
  <si>
    <t>Bill To</t>
  </si>
  <si>
    <t>Property</t>
  </si>
  <si>
    <t xml:space="preserve">Total </t>
  </si>
  <si>
    <t>Easy Street Capital</t>
  </si>
  <si>
    <t>Please remit payment to:</t>
  </si>
  <si>
    <t>Loan Amount</t>
  </si>
  <si>
    <t xml:space="preserve">                                                                                                                                                      </t>
  </si>
  <si>
    <t>Points</t>
  </si>
  <si>
    <t xml:space="preserve">Total Commission </t>
  </si>
  <si>
    <t>Account Number</t>
  </si>
  <si>
    <t xml:space="preserve">Wire Routing Number </t>
  </si>
  <si>
    <t>Borrower Name</t>
  </si>
  <si>
    <t>Borrower Email</t>
  </si>
  <si>
    <t>Bridge Commission Rate</t>
  </si>
  <si>
    <t>DSCR Commission Rate</t>
  </si>
  <si>
    <t>Bridge Commission</t>
  </si>
  <si>
    <t>DSCR/Bridge</t>
  </si>
  <si>
    <t>DSCR Commission</t>
  </si>
  <si>
    <t>DSCR</t>
  </si>
  <si>
    <t>Split</t>
  </si>
  <si>
    <t>DSCR TPO Commission Rate</t>
  </si>
  <si>
    <t>Bridge TPO Commission Rate</t>
  </si>
  <si>
    <t>DSCR TPO Commission</t>
  </si>
  <si>
    <t>Bridge TPO Commission</t>
  </si>
  <si>
    <t>DSCR TPO</t>
  </si>
  <si>
    <t>BRIDGE TPO</t>
  </si>
  <si>
    <t>Collin@easystreetcap.com</t>
  </si>
  <si>
    <t>ATTN: Collin Duffy</t>
  </si>
  <si>
    <t>DSCR SPLIT</t>
  </si>
  <si>
    <t>RTL SPLIT</t>
  </si>
  <si>
    <t>TPO RTL SPLIT</t>
  </si>
  <si>
    <t>TPO DSCR SPLIT</t>
  </si>
  <si>
    <t>BRIDGE</t>
  </si>
  <si>
    <t>Note:</t>
  </si>
  <si>
    <t>(Drop down List)</t>
  </si>
  <si>
    <t>Enter AE's Name</t>
  </si>
  <si>
    <t>RETAIL DSCR</t>
  </si>
  <si>
    <t>Upsell Commission</t>
  </si>
  <si>
    <t>(Upsell Only) 
RTL Note Rate</t>
  </si>
  <si>
    <t>(Upsell Only) 
RTL Base Rate</t>
  </si>
  <si>
    <t>Notes</t>
  </si>
  <si>
    <t>(Add a note if there are manual edits)</t>
  </si>
  <si>
    <r>
      <t xml:space="preserve">Please fill in all necessary cells highlighted in grey below. If more rows are required, please drag down all formulas in Columns J and L - T to the right after adding the additional rows. </t>
    </r>
    <r>
      <rPr>
        <b/>
        <sz val="11"/>
        <color rgb="FFFF0000"/>
        <rFont val="Calibri"/>
        <family val="2"/>
      </rPr>
      <t>Please add a note in Column U if there are any manual edits which break from formula results.</t>
    </r>
  </si>
  <si>
    <t>October Commissions</t>
  </si>
  <si>
    <t>2504 Deerfoot Trl, Austin, TX 78704</t>
  </si>
  <si>
    <t>Sandra Garcia</t>
  </si>
  <si>
    <t>sandita.garcia@icloud.com</t>
  </si>
  <si>
    <t>61 Main St, Broad Brook, CT 06016</t>
  </si>
  <si>
    <t>John Pierre</t>
  </si>
  <si>
    <t>johnrealty2@gmail.com</t>
  </si>
  <si>
    <t>3967 Belfast Ave, Cincinnati, OH 45236</t>
  </si>
  <si>
    <t>Joseph Super</t>
  </si>
  <si>
    <t>restoredrentalsllc@gmail.com</t>
  </si>
  <si>
    <t>Fusion Base Rate should be 8.9%</t>
  </si>
  <si>
    <t>Riley Bishop</t>
  </si>
  <si>
    <t>Riley Bishop PLLC</t>
  </si>
  <si>
    <t>457042689074 </t>
  </si>
  <si>
    <t>122101706 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</si>
</sst>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Date of Invoice: &quot;\ \ mm/dd/yyyy\ "/>
    <numFmt numFmtId="166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595959"/>
      <name val="Cambria"/>
      <family val="1"/>
    </font>
    <font>
      <sz val="14"/>
      <color rgb="FFFFFFFF"/>
      <name val="Calibri"/>
      <family val="2"/>
    </font>
    <font>
      <b/>
      <sz val="14"/>
      <color rgb="FF7E97AD"/>
      <name val="Calibri"/>
      <family val="2"/>
    </font>
    <font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20"/>
      <color rgb="FFFFFFFF"/>
      <name val="Calibri"/>
      <family val="2"/>
    </font>
    <font>
      <sz val="9"/>
      <color rgb="FFFFFFFF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0"/>
      <color rgb="FFFF0000"/>
      <name val="Calibri"/>
      <family val="2"/>
      <scheme val="minor"/>
    </font>
    <font>
      <b/>
      <sz val="11"/>
      <color rgb="FF7E97AD"/>
      <name val="Calibri"/>
      <family val="2"/>
    </font>
    <font>
      <sz val="10"/>
      <color rgb="FFFF0000"/>
      <name val="Cambria"/>
      <family val="1"/>
    </font>
    <font>
      <b/>
      <sz val="9"/>
      <color rgb="FF33333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7E97A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7E97AD"/>
      </bottom>
      <diagonal/>
    </border>
    <border>
      <left/>
      <right/>
      <top/>
      <bottom style="medium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0" fontId="2" fillId="0" borderId="0" xfId="2" applyNumberFormat="1" applyFont="1" applyAlignment="1">
      <alignment horizontal="center" vertical="center" wrapText="1"/>
    </xf>
    <xf numFmtId="0" fontId="6" fillId="0" borderId="0" xfId="3" applyAlignment="1">
      <alignment vertical="center"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44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0" fontId="8" fillId="2" borderId="0" xfId="2" applyNumberFormat="1" applyFont="1" applyFill="1" applyAlignment="1" applyProtection="1">
      <alignment horizontal="center" vertical="center" wrapText="1"/>
    </xf>
    <xf numFmtId="44" fontId="8" fillId="2" borderId="0" xfId="1" applyFont="1" applyFill="1" applyAlignment="1" applyProtection="1">
      <alignment horizontal="center" vertical="center" wrapText="1"/>
    </xf>
    <xf numFmtId="10" fontId="9" fillId="2" borderId="0" xfId="2" applyNumberFormat="1" applyFont="1" applyFill="1" applyAlignment="1" applyProtection="1">
      <alignment horizontal="center" wrapText="1"/>
    </xf>
    <xf numFmtId="165" fontId="9" fillId="2" borderId="0" xfId="0" applyNumberFormat="1" applyFont="1" applyFill="1" applyAlignment="1">
      <alignment horizontal="center" wrapText="1"/>
    </xf>
    <xf numFmtId="44" fontId="9" fillId="2" borderId="0" xfId="1" applyFont="1" applyFill="1" applyAlignment="1" applyProtection="1">
      <alignment horizontal="center" wrapText="1"/>
    </xf>
    <xf numFmtId="10" fontId="0" fillId="0" borderId="0" xfId="2" applyNumberFormat="1" applyFont="1" applyAlignment="1" applyProtection="1">
      <alignment horizontal="center"/>
    </xf>
    <xf numFmtId="44" fontId="0" fillId="0" borderId="0" xfId="1" applyFont="1" applyAlignment="1" applyProtection="1">
      <alignment horizontal="center"/>
    </xf>
    <xf numFmtId="0" fontId="6" fillId="0" borderId="0" xfId="3" applyAlignment="1" applyProtection="1">
      <alignment vertical="center" wrapText="1"/>
    </xf>
    <xf numFmtId="10" fontId="7" fillId="0" borderId="0" xfId="2" applyNumberFormat="1" applyFont="1" applyAlignment="1" applyProtection="1">
      <alignment wrapText="1"/>
    </xf>
    <xf numFmtId="44" fontId="7" fillId="0" borderId="0" xfId="1" applyFont="1" applyAlignment="1" applyProtection="1">
      <alignment wrapText="1"/>
    </xf>
    <xf numFmtId="0" fontId="5" fillId="2" borderId="2" xfId="0" applyFont="1" applyFill="1" applyBorder="1" applyAlignment="1">
      <alignment horizontal="center" vertical="center" wrapText="1"/>
    </xf>
    <xf numFmtId="10" fontId="5" fillId="2" borderId="2" xfId="2" applyNumberFormat="1" applyFont="1" applyFill="1" applyBorder="1" applyAlignment="1" applyProtection="1">
      <alignment horizontal="center" vertical="center" wrapText="1"/>
    </xf>
    <xf numFmtId="44" fontId="5" fillId="2" borderId="2" xfId="1" applyFont="1" applyFill="1" applyBorder="1" applyAlignment="1" applyProtection="1">
      <alignment horizontal="center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44" fontId="2" fillId="0" borderId="0" xfId="1" applyFont="1" applyAlignment="1" applyProtection="1">
      <alignment horizontal="center" vertical="center" wrapText="1"/>
    </xf>
    <xf numFmtId="44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0" fontId="5" fillId="2" borderId="2" xfId="0" applyNumberFormat="1" applyFont="1" applyFill="1" applyBorder="1" applyAlignment="1">
      <alignment horizontal="left" vertical="center" wrapText="1"/>
    </xf>
    <xf numFmtId="165" fontId="9" fillId="2" borderId="0" xfId="0" applyNumberFormat="1" applyFont="1" applyFill="1" applyAlignment="1" applyProtection="1">
      <alignment horizontal="center" wrapText="1"/>
      <protection locked="0"/>
    </xf>
    <xf numFmtId="166" fontId="2" fillId="0" borderId="0" xfId="1" applyNumberFormat="1" applyFont="1" applyAlignment="1" applyProtection="1">
      <alignment horizontal="center" vertical="center" wrapText="1"/>
    </xf>
    <xf numFmtId="0" fontId="2" fillId="3" borderId="0" xfId="0" applyFont="1" applyFill="1" applyAlignment="1" applyProtection="1">
      <alignment vertical="center" wrapText="1"/>
      <protection locked="0"/>
    </xf>
    <xf numFmtId="44" fontId="2" fillId="3" borderId="0" xfId="1" applyFont="1" applyFill="1" applyAlignment="1" applyProtection="1">
      <alignment vertical="center" wrapText="1"/>
      <protection locked="0"/>
    </xf>
    <xf numFmtId="10" fontId="2" fillId="3" borderId="0" xfId="2" applyNumberFormat="1" applyFont="1" applyFill="1" applyAlignment="1" applyProtection="1">
      <alignment horizontal="center" vertical="center" wrapText="1"/>
      <protection locked="0"/>
    </xf>
    <xf numFmtId="10" fontId="2" fillId="3" borderId="0" xfId="2" applyNumberFormat="1" applyFont="1" applyFill="1" applyAlignment="1" applyProtection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10" fontId="2" fillId="0" borderId="0" xfId="2" applyNumberFormat="1" applyFont="1" applyFill="1" applyAlignment="1" applyProtection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0" borderId="1" xfId="0" applyFont="1" applyBorder="1" applyAlignment="1">
      <alignment vertical="center" wrapText="1"/>
    </xf>
    <xf numFmtId="0" fontId="0" fillId="4" borderId="0" xfId="0" applyFill="1"/>
    <xf numFmtId="44" fontId="2" fillId="0" borderId="0" xfId="1" quotePrefix="1" applyFont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1" applyNumberFormat="1" applyFont="1" applyAlignment="1">
      <alignment horizontal="left" wrapText="1"/>
    </xf>
    <xf numFmtId="0" fontId="15" fillId="0" borderId="0" xfId="1" applyNumberFormat="1" applyFont="1" applyAlignment="1">
      <alignment horizontal="left" wrapText="1"/>
    </xf>
    <xf numFmtId="0" fontId="16" fillId="0" borderId="0" xfId="0" applyFont="1"/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llin@easystreetc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showGridLines="0" tabSelected="1" topLeftCell="J1" zoomScale="85" zoomScaleNormal="85" zoomScaleSheetLayoutView="100" workbookViewId="0">
      <selection activeCell="U18" sqref="U18"/>
    </sheetView>
  </sheetViews>
  <sheetFormatPr defaultColWidth="8.5703125" defaultRowHeight="15" x14ac:dyDescent="0.25"/>
  <cols>
    <col min="1" max="1" width="32.42578125" customWidth="1"/>
    <col min="2" max="2" width="25.42578125" customWidth="1"/>
    <col min="3" max="3" width="28.42578125" customWidth="1"/>
    <col min="4" max="4" width="17.5703125" customWidth="1"/>
    <col min="5" max="5" width="21" style="2" bestFit="1" customWidth="1"/>
    <col min="6" max="6" width="23.42578125" style="2" bestFit="1" customWidth="1"/>
    <col min="7" max="9" width="20.42578125" style="9" customWidth="1"/>
    <col min="10" max="10" width="15.28515625" style="9" customWidth="1"/>
    <col min="11" max="11" width="14.5703125" style="2" customWidth="1"/>
    <col min="12" max="19" width="16.5703125" style="8" customWidth="1"/>
    <col min="20" max="20" width="18.42578125" style="2" customWidth="1"/>
    <col min="21" max="21" width="34.42578125" style="41" bestFit="1" customWidth="1"/>
  </cols>
  <sheetData>
    <row r="1" spans="1:21" ht="24" customHeight="1" x14ac:dyDescent="0.25">
      <c r="A1" s="47" t="s">
        <v>36</v>
      </c>
      <c r="B1" s="47"/>
      <c r="C1" s="47"/>
      <c r="D1" s="47"/>
      <c r="E1" s="10"/>
      <c r="F1" s="10" t="s">
        <v>0</v>
      </c>
      <c r="G1" s="11"/>
      <c r="H1" s="11"/>
      <c r="I1" s="11"/>
      <c r="J1" s="11"/>
      <c r="K1" s="10"/>
      <c r="L1" s="12"/>
      <c r="M1" s="12"/>
      <c r="N1" s="12"/>
      <c r="O1" s="12"/>
      <c r="P1" s="12"/>
      <c r="Q1" s="12"/>
      <c r="R1" s="12"/>
      <c r="S1" s="12"/>
      <c r="T1" s="10"/>
      <c r="U1" s="10"/>
    </row>
    <row r="2" spans="1:21" ht="21.75" customHeight="1" x14ac:dyDescent="0.25">
      <c r="A2" s="46" t="s">
        <v>55</v>
      </c>
      <c r="B2" s="46"/>
      <c r="C2" s="46"/>
      <c r="D2" s="46"/>
      <c r="E2" s="10"/>
      <c r="F2" s="10"/>
      <c r="G2" s="11"/>
      <c r="H2" s="11"/>
      <c r="I2" s="11"/>
      <c r="J2" s="11"/>
      <c r="K2" s="10"/>
      <c r="L2" s="12"/>
      <c r="M2" s="12"/>
      <c r="N2" s="12"/>
      <c r="O2" s="12"/>
      <c r="P2" s="12"/>
      <c r="Q2" s="12"/>
      <c r="R2" s="12"/>
      <c r="S2" s="12"/>
      <c r="T2" s="10"/>
      <c r="U2" s="10"/>
    </row>
    <row r="3" spans="1:21" ht="28.5" customHeight="1" x14ac:dyDescent="0.25">
      <c r="A3" s="45" t="s">
        <v>44</v>
      </c>
      <c r="B3" s="45"/>
      <c r="C3" s="45"/>
      <c r="D3" s="45"/>
      <c r="E3" s="10"/>
      <c r="F3" s="29"/>
      <c r="G3" s="13"/>
      <c r="H3" s="13"/>
      <c r="I3" s="13"/>
      <c r="J3" s="13"/>
      <c r="K3" s="14"/>
      <c r="L3" s="15"/>
      <c r="M3" s="15"/>
      <c r="N3" s="15"/>
      <c r="O3" s="15"/>
      <c r="P3" s="15"/>
      <c r="Q3" s="15"/>
      <c r="R3" s="15"/>
      <c r="S3" s="15"/>
      <c r="T3" s="14"/>
      <c r="U3" s="14"/>
    </row>
    <row r="4" spans="1:21" ht="15.75" thickBot="1" x14ac:dyDescent="0.3">
      <c r="G4" s="16"/>
      <c r="H4" s="16"/>
      <c r="I4" s="16"/>
      <c r="J4" s="16"/>
      <c r="L4" s="17"/>
      <c r="M4" s="17"/>
      <c r="N4" s="17"/>
      <c r="O4" s="17"/>
      <c r="P4" s="17"/>
      <c r="Q4" s="17"/>
      <c r="R4" s="17"/>
      <c r="S4" s="17"/>
      <c r="U4" s="2"/>
    </row>
    <row r="5" spans="1:21" ht="15" customHeight="1" thickBot="1" x14ac:dyDescent="0.3">
      <c r="A5" s="38" t="s">
        <v>1</v>
      </c>
      <c r="B5" s="35" t="s">
        <v>34</v>
      </c>
      <c r="C5" s="48" t="s">
        <v>43</v>
      </c>
      <c r="D5" s="49"/>
      <c r="E5" s="50"/>
      <c r="G5" s="16"/>
      <c r="H5" s="16"/>
      <c r="I5" s="16"/>
      <c r="J5" s="16"/>
      <c r="L5" s="17"/>
      <c r="M5" s="17"/>
      <c r="N5" s="17"/>
      <c r="O5" s="17"/>
      <c r="P5" s="17"/>
      <c r="Q5" s="17"/>
      <c r="R5" s="17"/>
      <c r="S5" s="17"/>
      <c r="U5" s="2"/>
    </row>
    <row r="6" spans="1:21" x14ac:dyDescent="0.25">
      <c r="A6" s="1" t="s">
        <v>4</v>
      </c>
      <c r="B6" s="1"/>
      <c r="C6" s="51"/>
      <c r="D6" s="52"/>
      <c r="E6" s="53"/>
      <c r="G6" s="16"/>
      <c r="H6" s="16"/>
      <c r="I6" s="16"/>
      <c r="J6" s="16"/>
      <c r="L6" s="17"/>
      <c r="M6" s="17"/>
      <c r="N6" s="17"/>
      <c r="O6" s="17"/>
      <c r="P6" s="17"/>
      <c r="Q6" s="17"/>
      <c r="R6" s="17"/>
      <c r="S6" s="17"/>
      <c r="U6" s="2"/>
    </row>
    <row r="7" spans="1:21" x14ac:dyDescent="0.25">
      <c r="A7" s="1" t="s">
        <v>28</v>
      </c>
      <c r="B7" s="1"/>
      <c r="C7" s="51"/>
      <c r="D7" s="52"/>
      <c r="E7" s="53"/>
      <c r="G7" s="16"/>
      <c r="H7" s="16"/>
      <c r="I7" s="16"/>
      <c r="J7" s="16"/>
      <c r="L7" s="17"/>
      <c r="M7" s="17"/>
      <c r="N7" s="17"/>
      <c r="O7" s="17"/>
      <c r="P7" s="17"/>
      <c r="Q7" s="17"/>
      <c r="R7" s="17"/>
      <c r="S7" s="17"/>
      <c r="U7" s="2"/>
    </row>
    <row r="8" spans="1:21" ht="15.75" thickBot="1" x14ac:dyDescent="0.3">
      <c r="A8" s="4" t="s">
        <v>27</v>
      </c>
      <c r="B8" s="18"/>
      <c r="C8" s="54"/>
      <c r="D8" s="55"/>
      <c r="E8" s="56"/>
      <c r="G8" s="16"/>
      <c r="H8" s="16"/>
      <c r="I8" s="16"/>
      <c r="J8" s="16"/>
      <c r="L8" s="17"/>
      <c r="M8" s="17"/>
      <c r="N8" s="17"/>
      <c r="O8" s="17"/>
      <c r="P8" s="17"/>
      <c r="Q8" s="17"/>
      <c r="R8" s="17"/>
      <c r="S8" s="17"/>
      <c r="U8" s="2"/>
    </row>
    <row r="9" spans="1:21" x14ac:dyDescent="0.25">
      <c r="A9" s="18"/>
      <c r="B9" s="18"/>
      <c r="C9" s="18"/>
      <c r="D9" s="5" t="s">
        <v>7</v>
      </c>
      <c r="E9" s="5"/>
      <c r="F9" s="5"/>
      <c r="G9" s="19"/>
      <c r="H9" s="19"/>
      <c r="I9" s="19"/>
      <c r="J9" s="19"/>
      <c r="K9" s="37" t="s">
        <v>35</v>
      </c>
      <c r="L9" s="20"/>
      <c r="M9" s="20"/>
      <c r="N9" s="20"/>
      <c r="O9" s="20"/>
      <c r="P9" s="20"/>
      <c r="Q9" s="20"/>
      <c r="R9" s="20"/>
      <c r="S9" s="20"/>
      <c r="T9" s="5"/>
      <c r="U9" s="37" t="s">
        <v>42</v>
      </c>
    </row>
    <row r="10" spans="1:21" ht="26.25" thickBot="1" x14ac:dyDescent="0.3">
      <c r="A10" s="21" t="s">
        <v>2</v>
      </c>
      <c r="B10" s="21" t="s">
        <v>12</v>
      </c>
      <c r="C10" s="21" t="s">
        <v>13</v>
      </c>
      <c r="D10" s="21" t="s">
        <v>6</v>
      </c>
      <c r="E10" s="21" t="s">
        <v>8</v>
      </c>
      <c r="F10" s="21" t="s">
        <v>14</v>
      </c>
      <c r="G10" s="22" t="s">
        <v>15</v>
      </c>
      <c r="H10" s="22" t="s">
        <v>21</v>
      </c>
      <c r="I10" s="22" t="s">
        <v>22</v>
      </c>
      <c r="J10" s="22" t="s">
        <v>20</v>
      </c>
      <c r="K10" s="21" t="s">
        <v>17</v>
      </c>
      <c r="L10" s="23" t="s">
        <v>16</v>
      </c>
      <c r="M10" s="23" t="s">
        <v>18</v>
      </c>
      <c r="N10" s="23" t="s">
        <v>23</v>
      </c>
      <c r="O10" s="23" t="s">
        <v>24</v>
      </c>
      <c r="P10" s="23" t="s">
        <v>20</v>
      </c>
      <c r="Q10" s="23" t="s">
        <v>40</v>
      </c>
      <c r="R10" s="23" t="s">
        <v>39</v>
      </c>
      <c r="S10" s="23" t="s">
        <v>38</v>
      </c>
      <c r="T10" s="21" t="s">
        <v>9</v>
      </c>
      <c r="U10" s="21" t="s">
        <v>41</v>
      </c>
    </row>
    <row r="11" spans="1:21" x14ac:dyDescent="0.25">
      <c r="A11" s="31" t="s">
        <v>45</v>
      </c>
      <c r="B11" s="31" t="s">
        <v>46</v>
      </c>
      <c r="C11" s="31" t="s">
        <v>47</v>
      </c>
      <c r="D11" s="32">
        <v>920500</v>
      </c>
      <c r="E11" s="33">
        <v>0.01</v>
      </c>
      <c r="F11" s="34">
        <v>0.2</v>
      </c>
      <c r="G11" s="34">
        <v>0</v>
      </c>
      <c r="H11" s="34">
        <v>0</v>
      </c>
      <c r="I11" s="34">
        <v>0</v>
      </c>
      <c r="J11" s="36" t="str">
        <f>IF(ISNUMBER(IF(K11="RTL SPLIT",F11/2,IF(K11="DSCR SPLIT",G11/2,IF(K11="TPO RTL SPLIT",I11/2,IF(K11="TPO DSCR SPLIT",H11/2))))),IF(K11="RTL SPLIT",F11/2,IF(K11="DSCR SPLIT",G11/2,IF(K11="TPO RTL SPLIT",I11/2,IF(K11="TPO DSCR SPLIT",H11/2,0)))),"")</f>
        <v/>
      </c>
      <c r="K11" s="33" t="s">
        <v>33</v>
      </c>
      <c r="L11" s="25">
        <f>(D11*E11)*F11</f>
        <v>1841</v>
      </c>
      <c r="M11" s="25">
        <f t="shared" ref="M11:M57" si="0">D11*G11</f>
        <v>0</v>
      </c>
      <c r="N11" s="25">
        <f>(H11*D11)</f>
        <v>0</v>
      </c>
      <c r="O11" s="25">
        <f>(D11*I11)</f>
        <v>0</v>
      </c>
      <c r="P11" s="30" t="str" cm="1">
        <f t="array" ref="P11">IFERROR(IF(ISNUMBER(_xlfn.IFS(K11="RTL SPLIT",J11*D11*E11,K11="DSCR SPLIT",J11*D11,K11="TPO DSCR SPLIT",J11*D11,K11="TPO RTL SPLIT",J11*D11*E11*100)),_xlfn.IFS(K11="RTL SPLIT",J11*D11*E11,K11="DSCR SPLIT",J11*D11,K11="TPO DSCR SPLIT",J11*D11,K11="TPO RTL SPLIT",J11*D11*E11*100),""),0)</f>
        <v/>
      </c>
      <c r="Q11" s="34">
        <v>8.8999999999999996E-2</v>
      </c>
      <c r="R11" s="34">
        <v>0.109</v>
      </c>
      <c r="S11" s="25">
        <f t="shared" ref="S11:S57" si="1">IF(R11&gt;Q11,((R11-Q11)*D11)*0.1667,0)</f>
        <v>3068.9470000000006</v>
      </c>
      <c r="T11" s="40" cm="1">
        <f t="array" ref="T11">IFERROR(_xlfn.IFS(K11="BRIDGE",L11+S11,K11="DSCR",M11,K11="RETAIL DSCR",M11,K11="DSCR TPO",N11,K11="RTL SPLIT",P11+(S11/2),K11="DSCR SPLIT",P11,K11="TPO DSCR SPLIT",P11,K11="Bridge TPO",IF(AND(K11="BRIDGE TPO",S11&lt;0.01),O11,IF(AND(K11="Bridge TPO",$S11&gt;0,(L11+S11)&gt;(D11*0.003)),L11+S11,IF(AND(K11="Bridge TPO",$S11&gt;0,(L11+S11)&lt;(D11*0.003)),D11*0.003,0))),K11="TPO RTL SPLIT",IF(AND(K11="TPO RTL SPLIT",S11&lt;0.01),P11,IF(AND(K11="TPO RTL SPLIT",S11&gt;0,((L11/2)+(S11/2))&gt;(D11*0.0015)),(L11/2)+(S11/2),IF(AND(K11="TPO RTL SPLIT",$S11&gt;0,((L11/2)+(S11/2))&lt;(D11*0.0015)),D11*0.0015,0)))),0)</f>
        <v>4909.9470000000001</v>
      </c>
      <c r="U11" s="43" t="s">
        <v>54</v>
      </c>
    </row>
    <row r="12" spans="1:21" x14ac:dyDescent="0.25">
      <c r="A12" s="31" t="s">
        <v>48</v>
      </c>
      <c r="B12" s="31" t="s">
        <v>49</v>
      </c>
      <c r="C12" s="31" t="s">
        <v>50</v>
      </c>
      <c r="D12" s="32">
        <v>120000</v>
      </c>
      <c r="E12" s="33">
        <v>1.4999999999999999E-2</v>
      </c>
      <c r="F12" s="34">
        <v>0.2</v>
      </c>
      <c r="G12" s="34">
        <v>0</v>
      </c>
      <c r="H12" s="34">
        <v>0</v>
      </c>
      <c r="I12" s="34">
        <v>0</v>
      </c>
      <c r="J12" s="36" t="str">
        <f t="shared" ref="J12:J57" si="2">IF(ISNUMBER(IF(K12="RTL SPLIT",F12/2,IF(K12="DSCR SPLIT",G12/2,IF(K12="TPO RTL SPLIT",I12/2,IF(K12="TPO DSCR SPLIT",H12/2))))),IF(K12="RTL SPLIT",F12/2,IF(K12="DSCR SPLIT",G12/2,IF(K12="TPO RTL SPLIT",I12/2,IF(K12="TPO DSCR SPLIT",H12/2,0)))),"")</f>
        <v/>
      </c>
      <c r="K12" s="33" t="s">
        <v>33</v>
      </c>
      <c r="L12" s="25">
        <f t="shared" ref="L12:L57" si="3">(D12*E12)*F12</f>
        <v>360</v>
      </c>
      <c r="M12" s="25">
        <f t="shared" si="0"/>
        <v>0</v>
      </c>
      <c r="N12" s="25">
        <f t="shared" ref="N12:N57" si="4">(H12*D12)</f>
        <v>0</v>
      </c>
      <c r="O12" s="25">
        <f t="shared" ref="O12:O57" si="5">(D12*I12)</f>
        <v>0</v>
      </c>
      <c r="P12" s="30" t="str" cm="1">
        <f t="array" ref="P12">IFERROR(IF(ISNUMBER(_xlfn.IFS(K12="RTL SPLIT",J12*D12*E12,K12="DSCR SPLIT",J12*D12,K12="TPO DSCR SPLIT",J12*D12,K12="TPO RTL SPLIT",J12*D12*E12*100)),_xlfn.IFS(K12="RTL SPLIT",J12*D12*E12,K12="DSCR SPLIT",J12*D12,K12="TPO DSCR SPLIT",J12*D12,K12="TPO RTL SPLIT",J12*D12*E12*100),""),0)</f>
        <v/>
      </c>
      <c r="Q12" s="34">
        <v>9.9000000000000005E-2</v>
      </c>
      <c r="R12" s="34">
        <v>0.10489999999999999</v>
      </c>
      <c r="S12" s="25">
        <f t="shared" si="1"/>
        <v>118.02359999999976</v>
      </c>
      <c r="T12" s="40" cm="1">
        <f t="array" ref="T12">IFERROR(_xlfn.IFS(K12="BRIDGE",L12+S12,K12="DSCR",M12,K12="RETAIL DSCR",M12,K12="DSCR TPO",N12,K12="RTL SPLIT",P12+(S12/2),K12="DSCR SPLIT",P12,K12="TPO DSCR SPLIT",P12,K12="Bridge TPO",IF(AND(K12="BRIDGE TPO",S12&lt;0.01),O12,IF(AND(K12="Bridge TPO",$S12&gt;0,(L12+S12)&gt;(D12*0.003)),L12+S12,IF(AND(K12="Bridge TPO",$S12&gt;0,(L12+S12)&lt;(D12*0.003)),D12*0.003,0))),K12="TPO RTL SPLIT",IF(AND(K12="TPO RTL SPLIT",S12&lt;0.01),P12,IF(AND(K12="TPO RTL SPLIT",S12&gt;0,((L12/2)+(S12/2))&gt;(D12*0.0015)),(L12/2)+(S12/2),IF(AND(K12="TPO RTL SPLIT",$S12&gt;0,((L12/2)+(S12/2))&lt;(D12*0.0015)),D12*0.0015,0)))),0)</f>
        <v>478.02359999999976</v>
      </c>
      <c r="U12" s="42"/>
    </row>
    <row r="13" spans="1:21" ht="25.5" x14ac:dyDescent="0.25">
      <c r="A13" s="31" t="s">
        <v>51</v>
      </c>
      <c r="B13" s="31" t="s">
        <v>52</v>
      </c>
      <c r="C13" s="31" t="s">
        <v>53</v>
      </c>
      <c r="D13" s="32">
        <v>126000</v>
      </c>
      <c r="E13" s="33">
        <v>5.0000000000000001E-3</v>
      </c>
      <c r="F13" s="34">
        <v>0.2</v>
      </c>
      <c r="G13" s="34">
        <v>0</v>
      </c>
      <c r="H13" s="34">
        <v>0</v>
      </c>
      <c r="I13" s="34">
        <v>0</v>
      </c>
      <c r="J13" s="36" t="str">
        <f>IF(ISNUMBER(IF(K13="RTL SPLIT",F13/2,IF(K13="DSCR SPLIT",G13/2,IF(K13="TPO RTL SPLIT",I13/2,IF(K13="TPO DSCR SPLIT",H13/2))))),IF(K13="RTL SPLIT",F13/2,IF(K13="DSCR SPLIT",G13/2,IF(K13="TPO RTL SPLIT",I13/2,IF(K13="TPO DSCR SPLIT",H13/2,0)))),"")</f>
        <v/>
      </c>
      <c r="K13" s="33" t="s">
        <v>33</v>
      </c>
      <c r="L13" s="25">
        <f t="shared" si="3"/>
        <v>126</v>
      </c>
      <c r="M13" s="25">
        <f t="shared" si="0"/>
        <v>0</v>
      </c>
      <c r="N13" s="25">
        <f>(H13*D13)</f>
        <v>0</v>
      </c>
      <c r="O13" s="25">
        <f t="shared" si="5"/>
        <v>0</v>
      </c>
      <c r="P13" s="30" t="str" cm="1">
        <f t="array" ref="P13">IFERROR(IF(ISNUMBER(_xlfn.IFS(K13="RTL SPLIT",J13*D13*E13,K13="DSCR SPLIT",J13*D13,K13="TPO DSCR SPLIT",J13*D13,K13="TPO RTL SPLIT",J13*D13*E13*100)),_xlfn.IFS(K13="RTL SPLIT",J13*D13*E13,K13="DSCR SPLIT",J13*D13,K13="TPO DSCR SPLIT",J13*D13,K13="TPO RTL SPLIT",J13*D13*E13*100),""),0)</f>
        <v/>
      </c>
      <c r="Q13" s="34">
        <v>8.8999999999999996E-2</v>
      </c>
      <c r="R13" s="34">
        <v>0.1159</v>
      </c>
      <c r="S13" s="25">
        <f t="shared" si="1"/>
        <v>565.01298000000008</v>
      </c>
      <c r="T13" s="40" cm="1">
        <f t="array" ref="T13">IFERROR(_xlfn.IFS(K13="BRIDGE",L13+S13,K13="DSCR",M13,K13="RETAIL DSCR",M13,K13="DSCR TPO",N13,K13="RTL SPLIT",P13+(S13/2),K13="DSCR SPLIT",P13,K13="TPO DSCR SPLIT",P13,K13="Bridge TPO",IF(AND(K13="BRIDGE TPO",S13&lt;0.01),O13,IF(AND(K13="Bridge TPO",$S13&gt;0,(L13+S13)&gt;(D13*0.003)),L13+S13,IF(AND(K13="Bridge TPO",$S13&gt;0,(L13+S13)&lt;(D13*0.003)),D13*0.003,0))),K13="TPO RTL SPLIT",IF(AND(K13="TPO RTL SPLIT",S13&lt;0.01),P13,IF(AND(K13="TPO RTL SPLIT",S13&gt;0,((L13/2)+(S13/2))&gt;(D13*0.0015)),(L13/2)+(S13/2),IF(AND(K13="TPO RTL SPLIT",$S13&gt;0,((L13/2)+(S13/2))&lt;(D13*0.0015)),D13*0.0015,0)))),0)</f>
        <v>691.01298000000008</v>
      </c>
      <c r="U13" s="43" t="s">
        <v>54</v>
      </c>
    </row>
    <row r="14" spans="1:21" x14ac:dyDescent="0.25">
      <c r="A14" s="31"/>
      <c r="B14" s="31"/>
      <c r="C14" s="31"/>
      <c r="D14" s="32"/>
      <c r="E14" s="33"/>
      <c r="F14" s="34"/>
      <c r="G14" s="34"/>
      <c r="H14" s="34"/>
      <c r="I14" s="34"/>
      <c r="J14" s="36"/>
      <c r="K14" s="33"/>
      <c r="L14" s="25">
        <f t="shared" si="3"/>
        <v>0</v>
      </c>
      <c r="M14" s="25">
        <f t="shared" si="0"/>
        <v>0</v>
      </c>
      <c r="N14" s="25">
        <f t="shared" ref="N14" si="6">(H14*D14)</f>
        <v>0</v>
      </c>
      <c r="O14" s="25">
        <f t="shared" si="5"/>
        <v>0</v>
      </c>
      <c r="P14" s="30" t="str" cm="1">
        <f t="array" ref="P14">IFERROR(IF(ISNUMBER(_xlfn.IFS(K14="RTL SPLIT",J14*D14*E14,K14="DSCR SPLIT",J14*D14,K14="TPO DSCR SPLIT",J14*D14,K14="TPO RTL SPLIT",J14*D14*E14*100)),_xlfn.IFS(K14="RTL SPLIT",J14*D14*E14,K14="DSCR SPLIT",J14*D14,K14="TPO DSCR SPLIT",J14*D14,K14="TPO RTL SPLIT",J14*D14*E14*100),""),0)</f>
        <v/>
      </c>
      <c r="Q14" s="34"/>
      <c r="R14" s="34"/>
      <c r="S14" s="25">
        <f t="shared" si="1"/>
        <v>0</v>
      </c>
      <c r="T14" s="40" cm="1">
        <f t="array" ref="T14">IFERROR(_xlfn.IFS(K14="BRIDGE",L14+S14,K14="DSCR",M14,K14="RETAIL DSCR",M14,K14="DSCR TPO",N14,K14="RTL SPLIT",P14+(S14/2),K14="DSCR SPLIT",P14,K14="TPO DSCR SPLIT",P14,K14="Bridge TPO",IF(AND(K14="BRIDGE TPO",S14&lt;0.01),O14,IF(AND(K14="Bridge TPO",$S14&gt;0,(L14+S14)&gt;(D14*0.003)),L14+S14,IF(AND(K14="Bridge TPO",$S14&gt;0,(L14+S14)&lt;(D14*0.003)),D14*0.003,0))),K14="TPO RTL SPLIT",IF(AND(K14="TPO RTL SPLIT",S14&lt;0.01),P14,IF(AND(K14="TPO RTL SPLIT",S14&gt;0,((L14/2)+(S14/2))&gt;(D14*0.0015)),(L14/2)+(S14/2),IF(AND(K14="TPO RTL SPLIT",$S14&gt;0,((L14/2)+(S14/2))&lt;(D14*0.0015)),D14*0.0015,0)))),0)</f>
        <v>0</v>
      </c>
      <c r="U14" s="43"/>
    </row>
    <row r="15" spans="1:21" x14ac:dyDescent="0.25">
      <c r="A15" s="31"/>
      <c r="B15" s="31"/>
      <c r="C15" s="31"/>
      <c r="D15" s="32"/>
      <c r="E15" s="33"/>
      <c r="F15" s="34"/>
      <c r="G15" s="34"/>
      <c r="H15" s="34"/>
      <c r="I15" s="34"/>
      <c r="J15" s="36"/>
      <c r="K15" s="33"/>
      <c r="L15" s="25">
        <f t="shared" ref="L15" si="7">(D15*E15)*F15</f>
        <v>0</v>
      </c>
      <c r="M15" s="25">
        <f t="shared" ref="M15" si="8">D15*G15</f>
        <v>0</v>
      </c>
      <c r="N15" s="25">
        <f t="shared" ref="N15" si="9">(H15*D15)</f>
        <v>0</v>
      </c>
      <c r="O15" s="25">
        <f t="shared" ref="O15" si="10">(D15*I15)</f>
        <v>0</v>
      </c>
      <c r="P15" s="30" t="str" cm="1">
        <f t="array" ref="P15">IFERROR(IF(ISNUMBER(_xlfn.IFS(K15="RTL SPLIT",J15*D15*E15,K15="DSCR SPLIT",J15*D15,K15="TPO DSCR SPLIT",J15*D15,K15="TPO RTL SPLIT",J15*D15*E15*100)),_xlfn.IFS(K15="RTL SPLIT",J15*D15*E15,K15="DSCR SPLIT",J15*D15,K15="TPO DSCR SPLIT",J15*D15,K15="TPO RTL SPLIT",J15*D15*E15*100),""),0)</f>
        <v/>
      </c>
      <c r="Q15" s="34"/>
      <c r="R15" s="34"/>
      <c r="S15" s="25">
        <f t="shared" ref="S15" si="11">IF(R15&gt;Q15,((R15-Q15)*D15)*0.1667,0)</f>
        <v>0</v>
      </c>
      <c r="T15" s="40" cm="1">
        <f t="array" ref="T15">IFERROR(_xlfn.IFS(K15="BRIDGE",L15+S15,K15="DSCR",M15,K15="RETAIL DSCR",M15,K15="DSCR TPO",N15,K15="RTL SPLIT",P15+(S15/2),K15="DSCR SPLIT",P15,K15="TPO DSCR SPLIT",P15,K15="Bridge TPO",IF(AND(K15="BRIDGE TPO",S15&lt;0.01),O15,IF(AND(K15="Bridge TPO",$S15&gt;0,(L15+S15)&gt;(D15*0.003)),L15+S15,IF(AND(K15="Bridge TPO",$S15&gt;0,(L15+S15)&lt;(D15*0.003)),D15*0.003,0))),K15="TPO RTL SPLIT",IF(AND(K15="TPO RTL SPLIT",S15&lt;0.01),P15,IF(AND(K15="TPO RTL SPLIT",S15&gt;0,((L15/2)+(S15/2))&gt;(D15*0.0015)),(L15/2)+(S15/2),IF(AND(K15="TPO RTL SPLIT",$S15&gt;0,((L15/2)+(S15/2))&lt;(D15*0.0015)),D15*0.0015,0)))),0)</f>
        <v>0</v>
      </c>
      <c r="U15" s="43"/>
    </row>
    <row r="16" spans="1:21" x14ac:dyDescent="0.25">
      <c r="A16" s="31"/>
      <c r="B16" s="31"/>
      <c r="C16" s="31"/>
      <c r="D16" s="32"/>
      <c r="E16" s="33"/>
      <c r="F16" s="34"/>
      <c r="G16" s="34"/>
      <c r="H16" s="34"/>
      <c r="I16" s="34"/>
      <c r="J16" s="36" t="str">
        <f t="shared" si="2"/>
        <v/>
      </c>
      <c r="K16" s="33"/>
      <c r="L16" s="25">
        <f t="shared" si="3"/>
        <v>0</v>
      </c>
      <c r="M16" s="25">
        <f t="shared" si="0"/>
        <v>0</v>
      </c>
      <c r="N16" s="25">
        <f t="shared" si="4"/>
        <v>0</v>
      </c>
      <c r="O16" s="25">
        <f t="shared" si="5"/>
        <v>0</v>
      </c>
      <c r="P16" s="30" t="str" cm="1">
        <f t="array" ref="P16">IFERROR(IF(ISNUMBER(_xlfn.IFS(K16="RTL SPLIT",J16*D16*E16,K16="DSCR SPLIT",J16*D16,K16="TPO DSCR SPLIT",J16*D16,K16="TPO RTL SPLIT",J16*D16*E16*100)),_xlfn.IFS(K16="RTL SPLIT",J16*D16*E16,K16="DSCR SPLIT",J16*D16,K16="TPO DSCR SPLIT",J16*D16,K16="TPO RTL SPLIT",J16*D16*E16*100),""),0)</f>
        <v/>
      </c>
      <c r="Q16" s="34"/>
      <c r="R16" s="34"/>
      <c r="S16" s="25">
        <f t="shared" si="1"/>
        <v>0</v>
      </c>
      <c r="T16" s="40" cm="1">
        <f t="array" ref="T16">IFERROR(_xlfn.IFS(K16="BRIDGE",L16+S16,K16="DSCR",M16,K16="RETAIL DSCR",M16,K16="DSCR TPO",N16,K16="RTL SPLIT",P16+(S16/2),K16="DSCR SPLIT",P16,K16="TPO DSCR SPLIT",P16,K16="Bridge TPO",IF(AND(K16="BRIDGE TPO",S16&lt;0.01),O16,IF(AND(K16="Bridge TPO",$S16&gt;0,(L16+S16)&gt;(D16*0.003)),L16+S16,IF(AND(K16="Bridge TPO",$S16&gt;0,(L16+S16)&lt;(D16*0.003)),D16*0.003,0))),K16="TPO RTL SPLIT",IF(AND(K16="TPO RTL SPLIT",S16&lt;0.01),P16,IF(AND(K16="TPO RTL SPLIT",S16&gt;0,((L16/2)+(S16/2))&gt;(D16*0.0015)),(L16/2)+(S16/2),IF(AND(K16="TPO RTL SPLIT",$S16&gt;0,((L16/2)+(S16/2))&lt;(D16*0.0015)),D16*0.0015,0)))),0)</f>
        <v>0</v>
      </c>
      <c r="U16" s="42"/>
    </row>
    <row r="17" spans="1:21" x14ac:dyDescent="0.25">
      <c r="A17" s="31"/>
      <c r="B17" s="31"/>
      <c r="C17" s="31"/>
      <c r="D17" s="32"/>
      <c r="E17" s="33"/>
      <c r="F17" s="34"/>
      <c r="G17" s="34"/>
      <c r="H17" s="34"/>
      <c r="I17" s="34"/>
      <c r="J17" s="36" t="str">
        <f t="shared" si="2"/>
        <v/>
      </c>
      <c r="K17" s="33"/>
      <c r="L17" s="25">
        <f t="shared" si="3"/>
        <v>0</v>
      </c>
      <c r="M17" s="25">
        <f t="shared" si="0"/>
        <v>0</v>
      </c>
      <c r="N17" s="25">
        <f t="shared" si="4"/>
        <v>0</v>
      </c>
      <c r="O17" s="25">
        <f t="shared" si="5"/>
        <v>0</v>
      </c>
      <c r="P17" s="30" t="str" cm="1">
        <f t="array" ref="P17">IFERROR(IF(ISNUMBER(_xlfn.IFS(K17="RTL SPLIT",J17*D17*E17,K17="DSCR SPLIT",J17*D17,K17="TPO DSCR SPLIT",J17*D17,K17="TPO RTL SPLIT",J17*D17*E17*100)),_xlfn.IFS(K17="RTL SPLIT",J17*D17*E17,K17="DSCR SPLIT",J17*D17,K17="TPO DSCR SPLIT",J17*D17,K17="TPO RTL SPLIT",J17*D17*E17*100),""),0)</f>
        <v/>
      </c>
      <c r="Q17" s="34"/>
      <c r="R17" s="34"/>
      <c r="S17" s="25">
        <f t="shared" si="1"/>
        <v>0</v>
      </c>
      <c r="T17" s="40" cm="1">
        <f t="array" ref="T17">IFERROR(_xlfn.IFS(K17="BRIDGE",L17+S17,K17="DSCR",M17,K17="RETAIL DSCR",M17,K17="DSCR TPO",N17,K17="RTL SPLIT",P17+(S17/2),K17="DSCR SPLIT",P17,K17="TPO DSCR SPLIT",P17,K17="Bridge TPO",IF(AND(K17="BRIDGE TPO",S17&lt;0.01),O17,IF(AND(K17="Bridge TPO",$S17&gt;0,(L17+S17)&gt;(D17*0.003)),L17+S17,IF(AND(K17="Bridge TPO",$S17&gt;0,(L17+S17)&lt;(D17*0.003)),D17*0.003,0))),K17="TPO RTL SPLIT",IF(AND(K17="TPO RTL SPLIT",S17&lt;0.01),P17,IF(AND(K17="TPO RTL SPLIT",S17&gt;0,((L17/2)+(S17/2))&gt;(D17*0.0015)),(L17/2)+(S17/2),IF(AND(K17="TPO RTL SPLIT",$S17&gt;0,((L17/2)+(S17/2))&lt;(D17*0.0015)),D17*0.0015,0)))),0)</f>
        <v>0</v>
      </c>
      <c r="U17" s="42"/>
    </row>
    <row r="18" spans="1:21" x14ac:dyDescent="0.25">
      <c r="A18" s="31"/>
      <c r="B18" s="31"/>
      <c r="C18" s="31"/>
      <c r="D18" s="32"/>
      <c r="E18" s="33"/>
      <c r="F18" s="34"/>
      <c r="G18" s="34"/>
      <c r="H18" s="34"/>
      <c r="I18" s="34"/>
      <c r="J18" s="36" t="str">
        <f t="shared" si="2"/>
        <v/>
      </c>
      <c r="K18" s="33"/>
      <c r="L18" s="25">
        <f t="shared" si="3"/>
        <v>0</v>
      </c>
      <c r="M18" s="25">
        <f t="shared" si="0"/>
        <v>0</v>
      </c>
      <c r="N18" s="25">
        <f t="shared" si="4"/>
        <v>0</v>
      </c>
      <c r="O18" s="25">
        <f t="shared" si="5"/>
        <v>0</v>
      </c>
      <c r="P18" s="30" t="str" cm="1">
        <f t="array" ref="P18">IFERROR(IF(ISNUMBER(_xlfn.IFS(K18="RTL SPLIT",J18*D18*E18,K18="DSCR SPLIT",J18*D18,K18="TPO DSCR SPLIT",J18*D18,K18="TPO RTL SPLIT",J18*D18*E18*100)),_xlfn.IFS(K18="RTL SPLIT",J18*D18*E18,K18="DSCR SPLIT",J18*D18,K18="TPO DSCR SPLIT",J18*D18,K18="TPO RTL SPLIT",J18*D18*E18*100),""),0)</f>
        <v/>
      </c>
      <c r="Q18" s="34"/>
      <c r="R18" s="34"/>
      <c r="S18" s="25">
        <f t="shared" si="1"/>
        <v>0</v>
      </c>
      <c r="T18" s="40" cm="1">
        <f t="array" ref="T18">IFERROR(_xlfn.IFS(K18="BRIDGE",L18+S18,K18="DSCR",M18,K18="RETAIL DSCR",M18,K18="DSCR TPO",N18,K18="RTL SPLIT",P18+(S18/2),K18="DSCR SPLIT",P18,K18="TPO DSCR SPLIT",P18,K18="Bridge TPO",IF(AND(K18="BRIDGE TPO",S18&lt;0.01),O18,IF(AND(K18="Bridge TPO",$S18&gt;0,(L18+S18)&gt;(D18*0.003)),L18+S18,IF(AND(K18="Bridge TPO",$S18&gt;0,(L18+S18)&lt;(D18*0.003)),D18*0.003,0))),K18="TPO RTL SPLIT",IF(AND(K18="TPO RTL SPLIT",S18&lt;0.01),P18,IF(AND(K18="TPO RTL SPLIT",S18&gt;0,((L18/2)+(S18/2))&gt;(D18*0.0015)),(L18/2)+(S18/2),IF(AND(K18="TPO RTL SPLIT",$S18&gt;0,((L18/2)+(S18/2))&lt;(D18*0.0015)),D18*0.0015,0)))),0)</f>
        <v>0</v>
      </c>
      <c r="U18" s="42"/>
    </row>
    <row r="19" spans="1:21" x14ac:dyDescent="0.25">
      <c r="A19" s="31"/>
      <c r="B19" s="31"/>
      <c r="C19" s="31"/>
      <c r="D19" s="32"/>
      <c r="E19" s="33"/>
      <c r="F19" s="34"/>
      <c r="G19" s="34"/>
      <c r="H19" s="34"/>
      <c r="I19" s="34"/>
      <c r="J19" s="36" t="str">
        <f t="shared" si="2"/>
        <v/>
      </c>
      <c r="K19" s="33"/>
      <c r="L19" s="25">
        <f t="shared" si="3"/>
        <v>0</v>
      </c>
      <c r="M19" s="25">
        <f t="shared" si="0"/>
        <v>0</v>
      </c>
      <c r="N19" s="25">
        <f t="shared" si="4"/>
        <v>0</v>
      </c>
      <c r="O19" s="25">
        <f t="shared" si="5"/>
        <v>0</v>
      </c>
      <c r="P19" s="30" t="str" cm="1">
        <f t="array" ref="P19">IFERROR(IF(ISNUMBER(_xlfn.IFS(K19="RTL SPLIT",J19*D19*E19,K19="DSCR SPLIT",J19*D19,K19="TPO DSCR SPLIT",J19*D19,K19="TPO RTL SPLIT",J19*D19*E19*100)),_xlfn.IFS(K19="RTL SPLIT",J19*D19*E19,K19="DSCR SPLIT",J19*D19,K19="TPO DSCR SPLIT",J19*D19,K19="TPO RTL SPLIT",J19*D19*E19*100),""),0)</f>
        <v/>
      </c>
      <c r="Q19" s="34"/>
      <c r="R19" s="34"/>
      <c r="S19" s="25">
        <f t="shared" si="1"/>
        <v>0</v>
      </c>
      <c r="T19" s="40" cm="1">
        <f t="array" ref="T19">IFERROR(_xlfn.IFS(K19="BRIDGE",L19+S19,K19="DSCR",M19,K19="RETAIL DSCR",M19,K19="DSCR TPO",N19,K19="RTL SPLIT",P19+(S19/2),K19="DSCR SPLIT",P19,K19="TPO DSCR SPLIT",P19,K19="Bridge TPO",IF(AND(K19="BRIDGE TPO",S19&lt;0.01),O19,IF(AND(K19="Bridge TPO",$S19&gt;0,(L19+S19)&gt;(D19*0.003)),L19+S19,IF(AND(K19="Bridge TPO",$S19&gt;0,(L19+S19)&lt;(D19*0.003)),D19*0.003,0))),K19="TPO RTL SPLIT",IF(AND(K19="TPO RTL SPLIT",S19&lt;0.01),P19,IF(AND(K19="TPO RTL SPLIT",S19&gt;0,((L19/2)+(S19/2))&gt;(D19*0.0015)),(L19/2)+(S19/2),IF(AND(K19="TPO RTL SPLIT",$S19&gt;0,((L19/2)+(S19/2))&lt;(D19*0.0015)),D19*0.0015,0)))),0)</f>
        <v>0</v>
      </c>
      <c r="U19" s="42"/>
    </row>
    <row r="20" spans="1:21" x14ac:dyDescent="0.25">
      <c r="A20" s="31"/>
      <c r="B20" s="31"/>
      <c r="C20" s="31"/>
      <c r="D20" s="32"/>
      <c r="E20" s="33"/>
      <c r="F20" s="34"/>
      <c r="G20" s="34"/>
      <c r="H20" s="34"/>
      <c r="I20" s="34"/>
      <c r="J20" s="36" t="str">
        <f t="shared" si="2"/>
        <v/>
      </c>
      <c r="K20" s="33"/>
      <c r="L20" s="25">
        <f t="shared" si="3"/>
        <v>0</v>
      </c>
      <c r="M20" s="25">
        <f t="shared" si="0"/>
        <v>0</v>
      </c>
      <c r="N20" s="25">
        <f t="shared" si="4"/>
        <v>0</v>
      </c>
      <c r="O20" s="25">
        <f t="shared" si="5"/>
        <v>0</v>
      </c>
      <c r="P20" s="30" t="str" cm="1">
        <f t="array" ref="P20">IFERROR(IF(ISNUMBER(_xlfn.IFS(K20="RTL SPLIT",J20*D20*E20,K20="DSCR SPLIT",J20*D20,K20="TPO DSCR SPLIT",J20*D20,K20="TPO RTL SPLIT",J20*D20*E20*100)),_xlfn.IFS(K20="RTL SPLIT",J20*D20*E20,K20="DSCR SPLIT",J20*D20,K20="TPO DSCR SPLIT",J20*D20,K20="TPO RTL SPLIT",J20*D20*E20*100),""),0)</f>
        <v/>
      </c>
      <c r="Q20" s="34"/>
      <c r="R20" s="34"/>
      <c r="S20" s="25">
        <f t="shared" si="1"/>
        <v>0</v>
      </c>
      <c r="T20" s="40" cm="1">
        <f t="array" ref="T20">IFERROR(_xlfn.IFS(K20="BRIDGE",L20+S20,K20="DSCR",M20,K20="RETAIL DSCR",M20,K20="DSCR TPO",N20,K20="RTL SPLIT",P20+(S20/2),K20="DSCR SPLIT",P20,K20="TPO DSCR SPLIT",P20,K20="Bridge TPO",IF(AND(K20="BRIDGE TPO",S20&lt;0.01),O20,IF(AND(K20="Bridge TPO",$S20&gt;0,(L20+S20)&gt;(D20*0.003)),L20+S20,IF(AND(K20="Bridge TPO",$S20&gt;0,(L20+S20)&lt;(D20*0.003)),D20*0.003,0))),K20="TPO RTL SPLIT",IF(AND(K20="TPO RTL SPLIT",S20&lt;0.01),P20,IF(AND(K20="TPO RTL SPLIT",S20&gt;0,((L20/2)+(S20/2))&gt;(D20*0.0015)),(L20/2)+(S20/2),IF(AND(K20="TPO RTL SPLIT",$S20&gt;0,((L20/2)+(S20/2))&lt;(D20*0.0015)),D20*0.0015,0)))),0)</f>
        <v>0</v>
      </c>
      <c r="U20" s="42"/>
    </row>
    <row r="21" spans="1:21" x14ac:dyDescent="0.25">
      <c r="A21" s="31"/>
      <c r="B21" s="31"/>
      <c r="C21" s="31"/>
      <c r="D21" s="32"/>
      <c r="E21" s="33"/>
      <c r="F21" s="34"/>
      <c r="G21" s="34"/>
      <c r="H21" s="34"/>
      <c r="I21" s="34"/>
      <c r="J21" s="36" t="str">
        <f t="shared" si="2"/>
        <v/>
      </c>
      <c r="K21" s="33"/>
      <c r="L21" s="25">
        <f t="shared" si="3"/>
        <v>0</v>
      </c>
      <c r="M21" s="25">
        <f t="shared" si="0"/>
        <v>0</v>
      </c>
      <c r="N21" s="25">
        <f t="shared" si="4"/>
        <v>0</v>
      </c>
      <c r="O21" s="25">
        <f t="shared" si="5"/>
        <v>0</v>
      </c>
      <c r="P21" s="30" t="str" cm="1">
        <f t="array" ref="P21">IFERROR(IF(ISNUMBER(_xlfn.IFS(K21="RTL SPLIT",J21*D21*E21,K21="DSCR SPLIT",J21*D21,K21="TPO DSCR SPLIT",J21*D21,K21="TPO RTL SPLIT",J21*D21*E21*100)),_xlfn.IFS(K21="RTL SPLIT",J21*D21*E21,K21="DSCR SPLIT",J21*D21,K21="TPO DSCR SPLIT",J21*D21,K21="TPO RTL SPLIT",J21*D21*E21*100),""),0)</f>
        <v/>
      </c>
      <c r="Q21" s="34"/>
      <c r="R21" s="34"/>
      <c r="S21" s="25">
        <f t="shared" si="1"/>
        <v>0</v>
      </c>
      <c r="T21" s="40" cm="1">
        <f t="array" ref="T21">IFERROR(_xlfn.IFS(K21="BRIDGE",L21+S21,K21="DSCR",M21,K21="RETAIL DSCR",M21,K21="DSCR TPO",N21,K21="RTL SPLIT",P21+(S21/2),K21="DSCR SPLIT",P21,K21="TPO DSCR SPLIT",P21,K21="Bridge TPO",IF(AND(K21="BRIDGE TPO",S21&lt;0.01),O21,IF(AND(K21="Bridge TPO",$S21&gt;0,(L21+S21)&gt;(D21*0.003)),L21+S21,IF(AND(K21="Bridge TPO",$S21&gt;0,(L21+S21)&lt;(D21*0.003)),D21*0.003,0))),K21="TPO RTL SPLIT",IF(AND(K21="TPO RTL SPLIT",S21&lt;0.01),P21,IF(AND(K21="TPO RTL SPLIT",S21&gt;0,((L21/2)+(S21/2))&gt;(D21*0.0015)),(L21/2)+(S21/2),IF(AND(K21="TPO RTL SPLIT",$S21&gt;0,((L21/2)+(S21/2))&lt;(D21*0.0015)),D21*0.0015,0)))),0)</f>
        <v>0</v>
      </c>
      <c r="U21" s="42"/>
    </row>
    <row r="22" spans="1:21" x14ac:dyDescent="0.25">
      <c r="A22" s="31"/>
      <c r="B22" s="31"/>
      <c r="C22" s="31"/>
      <c r="D22" s="32"/>
      <c r="E22" s="33"/>
      <c r="F22" s="34"/>
      <c r="G22" s="34"/>
      <c r="H22" s="34"/>
      <c r="I22" s="34"/>
      <c r="J22" s="36" t="str">
        <f t="shared" si="2"/>
        <v/>
      </c>
      <c r="K22" s="33"/>
      <c r="L22" s="25">
        <f t="shared" si="3"/>
        <v>0</v>
      </c>
      <c r="M22" s="25">
        <f t="shared" si="0"/>
        <v>0</v>
      </c>
      <c r="N22" s="25">
        <f t="shared" si="4"/>
        <v>0</v>
      </c>
      <c r="O22" s="25">
        <f t="shared" si="5"/>
        <v>0</v>
      </c>
      <c r="P22" s="30" t="str" cm="1">
        <f t="array" ref="P22">IFERROR(IF(ISNUMBER(_xlfn.IFS(K22="RTL SPLIT",J22*D22*E22,K22="DSCR SPLIT",J22*D22,K22="TPO DSCR SPLIT",J22*D22,K22="TPO RTL SPLIT",J22*D22*E22*100)),_xlfn.IFS(K22="RTL SPLIT",J22*D22*E22,K22="DSCR SPLIT",J22*D22,K22="TPO DSCR SPLIT",J22*D22,K22="TPO RTL SPLIT",J22*D22*E22*100),""),0)</f>
        <v/>
      </c>
      <c r="Q22" s="34"/>
      <c r="R22" s="34"/>
      <c r="S22" s="25">
        <f t="shared" si="1"/>
        <v>0</v>
      </c>
      <c r="T22" s="40" cm="1">
        <f t="array" ref="T22">IFERROR(_xlfn.IFS(K22="BRIDGE",L22+S22,K22="DSCR",M22,K22="RETAIL DSCR",M22,K22="DSCR TPO",N22,K22="RTL SPLIT",P22+(S22/2),K22="DSCR SPLIT",P22,K22="TPO DSCR SPLIT",P22,K22="Bridge TPO",IF(AND(K22="BRIDGE TPO",S22&lt;0.01),O22,IF(AND(K22="Bridge TPO",$S22&gt;0,(L22+S22)&gt;(D22*0.003)),L22+S22,IF(AND(K22="Bridge TPO",$S22&gt;0,(L22+S22)&lt;(D22*0.003)),D22*0.003,0))),K22="TPO RTL SPLIT",IF(AND(K22="TPO RTL SPLIT",S22&lt;0.01),P22,IF(AND(K22="TPO RTL SPLIT",S22&gt;0,((L22/2)+(S22/2))&gt;(D22*0.0015)),(L22/2)+(S22/2),IF(AND(K22="TPO RTL SPLIT",$S22&gt;0,((L22/2)+(S22/2))&lt;(D22*0.0015)),D22*0.0015,0)))),0)</f>
        <v>0</v>
      </c>
      <c r="U22" s="42"/>
    </row>
    <row r="23" spans="1:21" x14ac:dyDescent="0.25">
      <c r="A23" s="31"/>
      <c r="B23" s="31"/>
      <c r="C23" s="31"/>
      <c r="D23" s="32"/>
      <c r="E23" s="33"/>
      <c r="F23" s="34"/>
      <c r="G23" s="34"/>
      <c r="H23" s="34"/>
      <c r="I23" s="34"/>
      <c r="J23" s="36" t="str">
        <f t="shared" si="2"/>
        <v/>
      </c>
      <c r="K23" s="33"/>
      <c r="L23" s="25">
        <f t="shared" si="3"/>
        <v>0</v>
      </c>
      <c r="M23" s="25">
        <f t="shared" si="0"/>
        <v>0</v>
      </c>
      <c r="N23" s="25">
        <f t="shared" si="4"/>
        <v>0</v>
      </c>
      <c r="O23" s="25">
        <f t="shared" si="5"/>
        <v>0</v>
      </c>
      <c r="P23" s="30" t="str" cm="1">
        <f t="array" ref="P23">IFERROR(IF(ISNUMBER(_xlfn.IFS(K23="RTL SPLIT",J23*D23*E23,K23="DSCR SPLIT",J23*D23,K23="TPO DSCR SPLIT",J23*D23,K23="TPO RTL SPLIT",J23*D23*E23*100)),_xlfn.IFS(K23="RTL SPLIT",J23*D23*E23,K23="DSCR SPLIT",J23*D23,K23="TPO DSCR SPLIT",J23*D23,K23="TPO RTL SPLIT",J23*D23*E23*100),""),0)</f>
        <v/>
      </c>
      <c r="Q23" s="34"/>
      <c r="R23" s="34"/>
      <c r="S23" s="25">
        <f t="shared" si="1"/>
        <v>0</v>
      </c>
      <c r="T23" s="40" cm="1">
        <f t="array" ref="T23">IFERROR(_xlfn.IFS(K23="BRIDGE",L23+S23,K23="DSCR",M23,K23="RETAIL DSCR",M23,K23="DSCR TPO",N23,K23="RTL SPLIT",P23+(S23/2),K23="DSCR SPLIT",P23,K23="TPO DSCR SPLIT",P23,K23="Bridge TPO",IF(AND(K23="BRIDGE TPO",S23&lt;0.01),O23,IF(AND(K23="Bridge TPO",$S23&gt;0,(L23+S23)&gt;(D23*0.003)),L23+S23,IF(AND(K23="Bridge TPO",$S23&gt;0,(L23+S23)&lt;(D23*0.003)),D23*0.003,0))),K23="TPO RTL SPLIT",IF(AND(K23="TPO RTL SPLIT",S23&lt;0.01),P23,IF(AND(K23="TPO RTL SPLIT",S23&gt;0,((L23/2)+(S23/2))&gt;(D23*0.0015)),(L23/2)+(S23/2),IF(AND(K23="TPO RTL SPLIT",$S23&gt;0,((L23/2)+(S23/2))&lt;(D23*0.0015)),D23*0.0015,0)))),0)</f>
        <v>0</v>
      </c>
      <c r="U23" s="42"/>
    </row>
    <row r="24" spans="1:21" x14ac:dyDescent="0.25">
      <c r="A24" s="31"/>
      <c r="B24" s="31"/>
      <c r="C24" s="31"/>
      <c r="D24" s="32"/>
      <c r="E24" s="33"/>
      <c r="F24" s="34"/>
      <c r="G24" s="34"/>
      <c r="H24" s="34"/>
      <c r="I24" s="34"/>
      <c r="J24" s="36" t="str">
        <f t="shared" si="2"/>
        <v/>
      </c>
      <c r="K24" s="33"/>
      <c r="L24" s="25">
        <f t="shared" si="3"/>
        <v>0</v>
      </c>
      <c r="M24" s="25">
        <f t="shared" si="0"/>
        <v>0</v>
      </c>
      <c r="N24" s="25">
        <f t="shared" si="4"/>
        <v>0</v>
      </c>
      <c r="O24" s="25">
        <f t="shared" si="5"/>
        <v>0</v>
      </c>
      <c r="P24" s="30" t="str" cm="1">
        <f t="array" ref="P24">IFERROR(IF(ISNUMBER(_xlfn.IFS(K24="RTL SPLIT",J24*D24*E24,K24="DSCR SPLIT",J24*D24,K24="TPO DSCR SPLIT",J24*D24,K24="TPO RTL SPLIT",J24*D24*E24*100)),_xlfn.IFS(K24="RTL SPLIT",J24*D24*E24,K24="DSCR SPLIT",J24*D24,K24="TPO DSCR SPLIT",J24*D24,K24="TPO RTL SPLIT",J24*D24*E24*100),""),0)</f>
        <v/>
      </c>
      <c r="Q24" s="34"/>
      <c r="R24" s="34"/>
      <c r="S24" s="25">
        <f t="shared" si="1"/>
        <v>0</v>
      </c>
      <c r="T24" s="40" cm="1">
        <f t="array" ref="T24">IFERROR(_xlfn.IFS(K24="BRIDGE",L24+S24,K24="DSCR",M24,K24="RETAIL DSCR",M24,K24="DSCR TPO",N24,K24="RTL SPLIT",P24+(S24/2),K24="DSCR SPLIT",P24,K24="TPO DSCR SPLIT",P24,K24="Bridge TPO",IF(AND(K24="BRIDGE TPO",S24&lt;0.01),O24,IF(AND(K24="Bridge TPO",$S24&gt;0,(L24+S24)&gt;(D24*0.003)),L24+S24,IF(AND(K24="Bridge TPO",$S24&gt;0,(L24+S24)&lt;(D24*0.003)),D24*0.003,0))),K24="TPO RTL SPLIT",IF(AND(K24="TPO RTL SPLIT",S24&lt;0.01),P24,IF(AND(K24="TPO RTL SPLIT",S24&gt;0,((L24/2)+(S24/2))&gt;(D24*0.0015)),(L24/2)+(S24/2),IF(AND(K24="TPO RTL SPLIT",$S24&gt;0,((L24/2)+(S24/2))&lt;(D24*0.0015)),D24*0.0015,0)))),0)</f>
        <v>0</v>
      </c>
      <c r="U24" s="42"/>
    </row>
    <row r="25" spans="1:21" x14ac:dyDescent="0.25">
      <c r="A25" s="31"/>
      <c r="B25" s="31"/>
      <c r="C25" s="31"/>
      <c r="D25" s="32"/>
      <c r="E25" s="33"/>
      <c r="F25" s="34"/>
      <c r="G25" s="34"/>
      <c r="H25" s="34"/>
      <c r="I25" s="34"/>
      <c r="J25" s="36" t="str">
        <f t="shared" si="2"/>
        <v/>
      </c>
      <c r="K25" s="33"/>
      <c r="L25" s="25">
        <f t="shared" si="3"/>
        <v>0</v>
      </c>
      <c r="M25" s="25">
        <f t="shared" si="0"/>
        <v>0</v>
      </c>
      <c r="N25" s="25">
        <f t="shared" si="4"/>
        <v>0</v>
      </c>
      <c r="O25" s="25">
        <f t="shared" si="5"/>
        <v>0</v>
      </c>
      <c r="P25" s="30" t="str" cm="1">
        <f t="array" ref="P25">IFERROR(IF(ISNUMBER(_xlfn.IFS(K25="RTL SPLIT",J25*D25*E25,K25="DSCR SPLIT",J25*D25,K25="TPO DSCR SPLIT",J25*D25,K25="TPO RTL SPLIT",J25*D25*E25*100)),_xlfn.IFS(K25="RTL SPLIT",J25*D25*E25,K25="DSCR SPLIT",J25*D25,K25="TPO DSCR SPLIT",J25*D25,K25="TPO RTL SPLIT",J25*D25*E25*100),""),0)</f>
        <v/>
      </c>
      <c r="Q25" s="34"/>
      <c r="R25" s="34"/>
      <c r="S25" s="25">
        <f t="shared" si="1"/>
        <v>0</v>
      </c>
      <c r="T25" s="40" cm="1">
        <f t="array" ref="T25">IFERROR(_xlfn.IFS(K25="BRIDGE",L25+S25,K25="DSCR",M25,K25="RETAIL DSCR",M25,K25="DSCR TPO",N25,K25="RTL SPLIT",P25+(S25/2),K25="DSCR SPLIT",P25,K25="TPO DSCR SPLIT",P25,K25="Bridge TPO",IF(AND(K25="BRIDGE TPO",S25&lt;0.01),O25,IF(AND(K25="Bridge TPO",$S25&gt;0,(L25+S25)&gt;(D25*0.003)),L25+S25,IF(AND(K25="Bridge TPO",$S25&gt;0,(L25+S25)&lt;(D25*0.003)),D25*0.003,0))),K25="TPO RTL SPLIT",IF(AND(K25="TPO RTL SPLIT",S25&lt;0.01),P25,IF(AND(K25="TPO RTL SPLIT",S25&gt;0,((L25/2)+(S25/2))&gt;(D25*0.0015)),(L25/2)+(S25/2),IF(AND(K25="TPO RTL SPLIT",$S25&gt;0,((L25/2)+(S25/2))&lt;(D25*0.0015)),D25*0.0015,0)))),0)</f>
        <v>0</v>
      </c>
      <c r="U25" s="42"/>
    </row>
    <row r="26" spans="1:21" x14ac:dyDescent="0.25">
      <c r="A26" s="31"/>
      <c r="B26" s="31"/>
      <c r="C26" s="31"/>
      <c r="D26" s="32"/>
      <c r="E26" s="33"/>
      <c r="F26" s="34"/>
      <c r="G26" s="34"/>
      <c r="H26" s="34"/>
      <c r="I26" s="34"/>
      <c r="J26" s="36" t="str">
        <f t="shared" si="2"/>
        <v/>
      </c>
      <c r="K26" s="33"/>
      <c r="L26" s="25">
        <f t="shared" si="3"/>
        <v>0</v>
      </c>
      <c r="M26" s="25">
        <f t="shared" si="0"/>
        <v>0</v>
      </c>
      <c r="N26" s="25">
        <f t="shared" si="4"/>
        <v>0</v>
      </c>
      <c r="O26" s="25">
        <f t="shared" si="5"/>
        <v>0</v>
      </c>
      <c r="P26" s="30" t="str" cm="1">
        <f t="array" ref="P26">IFERROR(IF(ISNUMBER(_xlfn.IFS(K26="RTL SPLIT",J26*D26*E26,K26="DSCR SPLIT",J26*D26,K26="TPO DSCR SPLIT",J26*D26,K26="TPO RTL SPLIT",J26*D26*E26*100)),_xlfn.IFS(K26="RTL SPLIT",J26*D26*E26,K26="DSCR SPLIT",J26*D26,K26="TPO DSCR SPLIT",J26*D26,K26="TPO RTL SPLIT",J26*D26*E26*100),""),0)</f>
        <v/>
      </c>
      <c r="Q26" s="34"/>
      <c r="R26" s="34"/>
      <c r="S26" s="25">
        <f t="shared" si="1"/>
        <v>0</v>
      </c>
      <c r="T26" s="40" cm="1">
        <f t="array" ref="T26">IFERROR(_xlfn.IFS(K26="BRIDGE",L26+S26,K26="DSCR",M26,K26="RETAIL DSCR",M26,K26="DSCR TPO",N26,K26="RTL SPLIT",P26+(S26/2),K26="DSCR SPLIT",P26,K26="TPO DSCR SPLIT",P26,K26="Bridge TPO",IF(AND(K26="BRIDGE TPO",S26&lt;0.01),O26,IF(AND(K26="Bridge TPO",$S26&gt;0,(L26+S26)&gt;(D26*0.003)),L26+S26,IF(AND(K26="Bridge TPO",$S26&gt;0,(L26+S26)&lt;(D26*0.003)),D26*0.003,0))),K26="TPO RTL SPLIT",IF(AND(K26="TPO RTL SPLIT",S26&lt;0.01),P26,IF(AND(K26="TPO RTL SPLIT",S26&gt;0,((L26/2)+(S26/2))&gt;(D26*0.0015)),(L26/2)+(S26/2),IF(AND(K26="TPO RTL SPLIT",$S26&gt;0,((L26/2)+(S26/2))&lt;(D26*0.0015)),D26*0.0015,0)))),0)</f>
        <v>0</v>
      </c>
      <c r="U26" s="42"/>
    </row>
    <row r="27" spans="1:21" x14ac:dyDescent="0.25">
      <c r="A27" s="31"/>
      <c r="B27" s="31"/>
      <c r="C27" s="31"/>
      <c r="D27" s="32"/>
      <c r="E27" s="33"/>
      <c r="F27" s="34"/>
      <c r="G27" s="34"/>
      <c r="H27" s="34"/>
      <c r="I27" s="34"/>
      <c r="J27" s="36" t="str">
        <f t="shared" si="2"/>
        <v/>
      </c>
      <c r="K27" s="33"/>
      <c r="L27" s="25">
        <f t="shared" si="3"/>
        <v>0</v>
      </c>
      <c r="M27" s="25">
        <f t="shared" si="0"/>
        <v>0</v>
      </c>
      <c r="N27" s="25">
        <f t="shared" si="4"/>
        <v>0</v>
      </c>
      <c r="O27" s="25">
        <f t="shared" si="5"/>
        <v>0</v>
      </c>
      <c r="P27" s="30" t="str" cm="1">
        <f t="array" ref="P27">IFERROR(IF(ISNUMBER(_xlfn.IFS(K27="RTL SPLIT",J27*D27*E27,K27="DSCR SPLIT",J27*D27,K27="TPO DSCR SPLIT",J27*D27,K27="TPO RTL SPLIT",J27*D27*E27*100)),_xlfn.IFS(K27="RTL SPLIT",J27*D27*E27,K27="DSCR SPLIT",J27*D27,K27="TPO DSCR SPLIT",J27*D27,K27="TPO RTL SPLIT",J27*D27*E27*100),""),0)</f>
        <v/>
      </c>
      <c r="Q27" s="34"/>
      <c r="R27" s="34"/>
      <c r="S27" s="25">
        <f t="shared" si="1"/>
        <v>0</v>
      </c>
      <c r="T27" s="40" cm="1">
        <f t="array" ref="T27">IFERROR(_xlfn.IFS(K27="BRIDGE",L27+S27,K27="DSCR",M27,K27="RETAIL DSCR",M27,K27="DSCR TPO",N27,K27="RTL SPLIT",P27+(S27/2),K27="DSCR SPLIT",P27,K27="TPO DSCR SPLIT",P27,K27="Bridge TPO",IF(AND(K27="BRIDGE TPO",S27&lt;0.01),O27,IF(AND(K27="Bridge TPO",$S27&gt;0,(L27+S27)&gt;(D27*0.003)),L27+S27,IF(AND(K27="Bridge TPO",$S27&gt;0,(L27+S27)&lt;(D27*0.003)),D27*0.003,0))),K27="TPO RTL SPLIT",IF(AND(K27="TPO RTL SPLIT",S27&lt;0.01),P27,IF(AND(K27="TPO RTL SPLIT",S27&gt;0,((L27/2)+(S27/2))&gt;(D27*0.0015)),(L27/2)+(S27/2),IF(AND(K27="TPO RTL SPLIT",$S27&gt;0,((L27/2)+(S27/2))&lt;(D27*0.0015)),D27*0.0015,0)))),0)</f>
        <v>0</v>
      </c>
      <c r="U27" s="42"/>
    </row>
    <row r="28" spans="1:21" x14ac:dyDescent="0.25">
      <c r="A28" s="31"/>
      <c r="B28" s="31"/>
      <c r="C28" s="31"/>
      <c r="D28" s="32"/>
      <c r="E28" s="33"/>
      <c r="F28" s="34"/>
      <c r="G28" s="34"/>
      <c r="H28" s="34"/>
      <c r="I28" s="34"/>
      <c r="J28" s="36" t="str">
        <f t="shared" si="2"/>
        <v/>
      </c>
      <c r="K28" s="33"/>
      <c r="L28" s="25">
        <f t="shared" si="3"/>
        <v>0</v>
      </c>
      <c r="M28" s="25">
        <f t="shared" si="0"/>
        <v>0</v>
      </c>
      <c r="N28" s="25">
        <f t="shared" si="4"/>
        <v>0</v>
      </c>
      <c r="O28" s="25">
        <f t="shared" si="5"/>
        <v>0</v>
      </c>
      <c r="P28" s="30" t="str" cm="1">
        <f t="array" ref="P28">IFERROR(IF(ISNUMBER(_xlfn.IFS(K28="RTL SPLIT",J28*D28*E28,K28="DSCR SPLIT",J28*D28,K28="TPO DSCR SPLIT",J28*D28,K28="TPO RTL SPLIT",J28*D28*E28*100)),_xlfn.IFS(K28="RTL SPLIT",J28*D28*E28,K28="DSCR SPLIT",J28*D28,K28="TPO DSCR SPLIT",J28*D28,K28="TPO RTL SPLIT",J28*D28*E28*100),""),0)</f>
        <v/>
      </c>
      <c r="Q28" s="34"/>
      <c r="R28" s="34"/>
      <c r="S28" s="25">
        <f t="shared" si="1"/>
        <v>0</v>
      </c>
      <c r="T28" s="40" cm="1">
        <f t="array" ref="T28">IFERROR(_xlfn.IFS(K28="BRIDGE",L28+S28,K28="DSCR",M28,K28="RETAIL DSCR",M28,K28="DSCR TPO",N28,K28="RTL SPLIT",P28+(S28/2),K28="DSCR SPLIT",P28,K28="TPO DSCR SPLIT",P28,K28="Bridge TPO",IF(AND(K28="BRIDGE TPO",S28&lt;0.01),O28,IF(AND(K28="Bridge TPO",$S28&gt;0,(L28+S28)&gt;(D28*0.003)),L28+S28,IF(AND(K28="Bridge TPO",$S28&gt;0,(L28+S28)&lt;(D28*0.003)),D28*0.003,0))),K28="TPO RTL SPLIT",IF(AND(K28="TPO RTL SPLIT",S28&lt;0.01),P28,IF(AND(K28="TPO RTL SPLIT",S28&gt;0,((L28/2)+(S28/2))&gt;(D28*0.0015)),(L28/2)+(S28/2),IF(AND(K28="TPO RTL SPLIT",$S28&gt;0,((L28/2)+(S28/2))&lt;(D28*0.0015)),D28*0.0015,0)))),0)</f>
        <v>0</v>
      </c>
      <c r="U28" s="42"/>
    </row>
    <row r="29" spans="1:21" x14ac:dyDescent="0.25">
      <c r="A29" s="31"/>
      <c r="B29" s="31"/>
      <c r="C29" s="31"/>
      <c r="D29" s="32"/>
      <c r="E29" s="33"/>
      <c r="F29" s="34"/>
      <c r="G29" s="34"/>
      <c r="H29" s="34"/>
      <c r="I29" s="34"/>
      <c r="J29" s="36" t="str">
        <f t="shared" si="2"/>
        <v/>
      </c>
      <c r="K29" s="33"/>
      <c r="L29" s="25">
        <f t="shared" si="3"/>
        <v>0</v>
      </c>
      <c r="M29" s="25">
        <f t="shared" si="0"/>
        <v>0</v>
      </c>
      <c r="N29" s="25">
        <f t="shared" si="4"/>
        <v>0</v>
      </c>
      <c r="O29" s="25">
        <f t="shared" si="5"/>
        <v>0</v>
      </c>
      <c r="P29" s="30" t="str" cm="1">
        <f t="array" ref="P29">IFERROR(IF(ISNUMBER(_xlfn.IFS(K29="RTL SPLIT",J29*D29*E29,K29="DSCR SPLIT",J29*D29,K29="TPO DSCR SPLIT",J29*D29,K29="TPO RTL SPLIT",J29*D29*E29*100)),_xlfn.IFS(K29="RTL SPLIT",J29*D29*E29,K29="DSCR SPLIT",J29*D29,K29="TPO DSCR SPLIT",J29*D29,K29="TPO RTL SPLIT",J29*D29*E29*100),""),0)</f>
        <v/>
      </c>
      <c r="Q29" s="34"/>
      <c r="R29" s="34"/>
      <c r="S29" s="25">
        <f t="shared" si="1"/>
        <v>0</v>
      </c>
      <c r="T29" s="40" cm="1">
        <f t="array" ref="T29">IFERROR(_xlfn.IFS(K29="BRIDGE",L29+S29,K29="DSCR",M29,K29="RETAIL DSCR",M29,K29="DSCR TPO",N29,K29="RTL SPLIT",P29+(S29/2),K29="DSCR SPLIT",P29,K29="TPO DSCR SPLIT",P29,K29="Bridge TPO",IF(AND(K29="BRIDGE TPO",S29&lt;0.01),O29,IF(AND(K29="Bridge TPO",$S29&gt;0,(L29+S29)&gt;(D29*0.003)),L29+S29,IF(AND(K29="Bridge TPO",$S29&gt;0,(L29+S29)&lt;(D29*0.003)),D29*0.003,0))),K29="TPO RTL SPLIT",IF(AND(K29="TPO RTL SPLIT",S29&lt;0.01),P29,IF(AND(K29="TPO RTL SPLIT",S29&gt;0,((L29/2)+(S29/2))&gt;(D29*0.0015)),(L29/2)+(S29/2),IF(AND(K29="TPO RTL SPLIT",$S29&gt;0,((L29/2)+(S29/2))&lt;(D29*0.0015)),D29*0.0015,0)))),0)</f>
        <v>0</v>
      </c>
      <c r="U29" s="42"/>
    </row>
    <row r="30" spans="1:21" x14ac:dyDescent="0.25">
      <c r="A30" s="31"/>
      <c r="B30" s="31"/>
      <c r="C30" s="31"/>
      <c r="D30" s="32"/>
      <c r="E30" s="33"/>
      <c r="F30" s="34"/>
      <c r="G30" s="34"/>
      <c r="H30" s="34"/>
      <c r="I30" s="34"/>
      <c r="J30" s="36" t="str">
        <f t="shared" si="2"/>
        <v/>
      </c>
      <c r="K30" s="33"/>
      <c r="L30" s="25">
        <f t="shared" si="3"/>
        <v>0</v>
      </c>
      <c r="M30" s="25">
        <f t="shared" si="0"/>
        <v>0</v>
      </c>
      <c r="N30" s="25">
        <f t="shared" si="4"/>
        <v>0</v>
      </c>
      <c r="O30" s="25">
        <f t="shared" si="5"/>
        <v>0</v>
      </c>
      <c r="P30" s="30" t="str" cm="1">
        <f t="array" ref="P30">IFERROR(IF(ISNUMBER(_xlfn.IFS(K30="RTL SPLIT",J30*D30*E30,K30="DSCR SPLIT",J30*D30,K30="TPO DSCR SPLIT",J30*D30,K30="TPO RTL SPLIT",J30*D30*E30*100)),_xlfn.IFS(K30="RTL SPLIT",J30*D30*E30,K30="DSCR SPLIT",J30*D30,K30="TPO DSCR SPLIT",J30*D30,K30="TPO RTL SPLIT",J30*D30*E30*100),""),0)</f>
        <v/>
      </c>
      <c r="Q30" s="34"/>
      <c r="R30" s="34"/>
      <c r="S30" s="25">
        <f t="shared" si="1"/>
        <v>0</v>
      </c>
      <c r="T30" s="40" cm="1">
        <f t="array" ref="T30">IFERROR(_xlfn.IFS(K30="BRIDGE",L30+S30,K30="DSCR",M30,K30="RETAIL DSCR",M30,K30="DSCR TPO",N30,K30="RTL SPLIT",P30+(S30/2),K30="DSCR SPLIT",P30,K30="TPO DSCR SPLIT",P30,K30="Bridge TPO",IF(AND(K30="BRIDGE TPO",S30&lt;0.01),O30,IF(AND(K30="Bridge TPO",$S30&gt;0,(L30+S30)&gt;(D30*0.003)),L30+S30,IF(AND(K30="Bridge TPO",$S30&gt;0,(L30+S30)&lt;(D30*0.003)),D30*0.003,0))),K30="TPO RTL SPLIT",IF(AND(K30="TPO RTL SPLIT",S30&lt;0.01),P30,IF(AND(K30="TPO RTL SPLIT",S30&gt;0,((L30/2)+(S30/2))&gt;(D30*0.0015)),(L30/2)+(S30/2),IF(AND(K30="TPO RTL SPLIT",$S30&gt;0,((L30/2)+(S30/2))&lt;(D30*0.0015)),D30*0.0015,0)))),0)</f>
        <v>0</v>
      </c>
      <c r="U30" s="42"/>
    </row>
    <row r="31" spans="1:21" x14ac:dyDescent="0.25">
      <c r="A31" s="31"/>
      <c r="B31" s="31"/>
      <c r="C31" s="31"/>
      <c r="D31" s="32"/>
      <c r="E31" s="33"/>
      <c r="F31" s="34"/>
      <c r="G31" s="34"/>
      <c r="H31" s="34"/>
      <c r="I31" s="34"/>
      <c r="J31" s="36" t="str">
        <f t="shared" si="2"/>
        <v/>
      </c>
      <c r="K31" s="33"/>
      <c r="L31" s="25">
        <f t="shared" si="3"/>
        <v>0</v>
      </c>
      <c r="M31" s="25">
        <f t="shared" si="0"/>
        <v>0</v>
      </c>
      <c r="N31" s="25">
        <f t="shared" si="4"/>
        <v>0</v>
      </c>
      <c r="O31" s="25">
        <f t="shared" si="5"/>
        <v>0</v>
      </c>
      <c r="P31" s="30" t="str" cm="1">
        <f t="array" ref="P31">IFERROR(IF(ISNUMBER(_xlfn.IFS(K31="RTL SPLIT",J31*D31*E31,K31="DSCR SPLIT",J31*D31,K31="TPO DSCR SPLIT",J31*D31,K31="TPO RTL SPLIT",J31*D31*E31*100)),_xlfn.IFS(K31="RTL SPLIT",J31*D31*E31,K31="DSCR SPLIT",J31*D31,K31="TPO DSCR SPLIT",J31*D31,K31="TPO RTL SPLIT",J31*D31*E31*100),""),0)</f>
        <v/>
      </c>
      <c r="Q31" s="34"/>
      <c r="R31" s="34"/>
      <c r="S31" s="25">
        <f t="shared" si="1"/>
        <v>0</v>
      </c>
      <c r="T31" s="40" cm="1">
        <f t="array" ref="T31">IFERROR(_xlfn.IFS(K31="BRIDGE",L31+S31,K31="DSCR",M31,K31="RETAIL DSCR",M31,K31="DSCR TPO",N31,K31="RTL SPLIT",P31+(S31/2),K31="DSCR SPLIT",P31,K31="TPO DSCR SPLIT",P31,K31="Bridge TPO",IF(AND(K31="BRIDGE TPO",S31&lt;0.01),O31,IF(AND(K31="Bridge TPO",$S31&gt;0,(L31+S31)&gt;(D31*0.003)),L31+S31,IF(AND(K31="Bridge TPO",$S31&gt;0,(L31+S31)&lt;(D31*0.003)),D31*0.003,0))),K31="TPO RTL SPLIT",IF(AND(K31="TPO RTL SPLIT",S31&lt;0.01),P31,IF(AND(K31="TPO RTL SPLIT",S31&gt;0,((L31/2)+(S31/2))&gt;(D31*0.0015)),(L31/2)+(S31/2),IF(AND(K31="TPO RTL SPLIT",$S31&gt;0,((L31/2)+(S31/2))&lt;(D31*0.0015)),D31*0.0015,0)))),0)</f>
        <v>0</v>
      </c>
      <c r="U31" s="42"/>
    </row>
    <row r="32" spans="1:21" x14ac:dyDescent="0.25">
      <c r="A32" s="31"/>
      <c r="B32" s="31"/>
      <c r="C32" s="31"/>
      <c r="D32" s="32"/>
      <c r="E32" s="33"/>
      <c r="F32" s="34"/>
      <c r="G32" s="34"/>
      <c r="H32" s="34"/>
      <c r="I32" s="34"/>
      <c r="J32" s="36" t="str">
        <f t="shared" si="2"/>
        <v/>
      </c>
      <c r="K32" s="33"/>
      <c r="L32" s="25">
        <f t="shared" si="3"/>
        <v>0</v>
      </c>
      <c r="M32" s="25">
        <f t="shared" si="0"/>
        <v>0</v>
      </c>
      <c r="N32" s="25">
        <f t="shared" si="4"/>
        <v>0</v>
      </c>
      <c r="O32" s="25">
        <f t="shared" si="5"/>
        <v>0</v>
      </c>
      <c r="P32" s="30" t="str" cm="1">
        <f t="array" ref="P32">IFERROR(IF(ISNUMBER(_xlfn.IFS(K32="RTL SPLIT",J32*D32*E32,K32="DSCR SPLIT",J32*D32,K32="TPO DSCR SPLIT",J32*D32,K32="TPO RTL SPLIT",J32*D32*E32*100)),_xlfn.IFS(K32="RTL SPLIT",J32*D32*E32,K32="DSCR SPLIT",J32*D32,K32="TPO DSCR SPLIT",J32*D32,K32="TPO RTL SPLIT",J32*D32*E32*100),""),0)</f>
        <v/>
      </c>
      <c r="Q32" s="34"/>
      <c r="R32" s="34"/>
      <c r="S32" s="25">
        <f t="shared" si="1"/>
        <v>0</v>
      </c>
      <c r="T32" s="40" cm="1">
        <f t="array" ref="T32">IFERROR(_xlfn.IFS(K32="BRIDGE",L32+S32,K32="DSCR",M32,K32="RETAIL DSCR",M32,K32="DSCR TPO",N32,K32="RTL SPLIT",P32+(S32/2),K32="DSCR SPLIT",P32,K32="TPO DSCR SPLIT",P32,K32="Bridge TPO",IF(AND(K32="BRIDGE TPO",S32&lt;0.01),O32,IF(AND(K32="Bridge TPO",$S32&gt;0,(L32+S32)&gt;(D32*0.003)),L32+S32,IF(AND(K32="Bridge TPO",$S32&gt;0,(L32+S32)&lt;(D32*0.003)),D32*0.003,0))),K32="TPO RTL SPLIT",IF(AND(K32="TPO RTL SPLIT",S32&lt;0.01),P32,IF(AND(K32="TPO RTL SPLIT",S32&gt;0,((L32/2)+(S32/2))&gt;(D32*0.0015)),(L32/2)+(S32/2),IF(AND(K32="TPO RTL SPLIT",$S32&gt;0,((L32/2)+(S32/2))&lt;(D32*0.0015)),D32*0.0015,0)))),0)</f>
        <v>0</v>
      </c>
      <c r="U32" s="42"/>
    </row>
    <row r="33" spans="1:21" x14ac:dyDescent="0.25">
      <c r="A33" s="31"/>
      <c r="B33" s="31"/>
      <c r="C33" s="31"/>
      <c r="D33" s="32"/>
      <c r="E33" s="33"/>
      <c r="F33" s="34"/>
      <c r="G33" s="34"/>
      <c r="H33" s="34"/>
      <c r="I33" s="34"/>
      <c r="J33" s="36" t="str">
        <f t="shared" si="2"/>
        <v/>
      </c>
      <c r="K33" s="33"/>
      <c r="L33" s="25">
        <f t="shared" si="3"/>
        <v>0</v>
      </c>
      <c r="M33" s="25">
        <f t="shared" si="0"/>
        <v>0</v>
      </c>
      <c r="N33" s="25">
        <f t="shared" si="4"/>
        <v>0</v>
      </c>
      <c r="O33" s="25">
        <f t="shared" si="5"/>
        <v>0</v>
      </c>
      <c r="P33" s="30" t="str" cm="1">
        <f t="array" ref="P33">IFERROR(IF(ISNUMBER(_xlfn.IFS(K33="RTL SPLIT",J33*D33*E33,K33="DSCR SPLIT",J33*D33,K33="TPO DSCR SPLIT",J33*D33,K33="TPO RTL SPLIT",J33*D33*E33*100)),_xlfn.IFS(K33="RTL SPLIT",J33*D33*E33,K33="DSCR SPLIT",J33*D33,K33="TPO DSCR SPLIT",J33*D33,K33="TPO RTL SPLIT",J33*D33*E33*100),""),0)</f>
        <v/>
      </c>
      <c r="Q33" s="34"/>
      <c r="R33" s="34"/>
      <c r="S33" s="25">
        <f t="shared" si="1"/>
        <v>0</v>
      </c>
      <c r="T33" s="40" cm="1">
        <f t="array" ref="T33">IFERROR(_xlfn.IFS(K33="BRIDGE",L33+S33,K33="DSCR",M33,K33="RETAIL DSCR",M33,K33="DSCR TPO",N33,K33="RTL SPLIT",P33+(S33/2),K33="DSCR SPLIT",P33,K33="TPO DSCR SPLIT",P33,K33="Bridge TPO",IF(AND(K33="BRIDGE TPO",S33&lt;0.01),O33,IF(AND(K33="Bridge TPO",$S33&gt;0,(L33+S33)&gt;(D33*0.003)),L33+S33,IF(AND(K33="Bridge TPO",$S33&gt;0,(L33+S33)&lt;(D33*0.003)),D33*0.003,0))),K33="TPO RTL SPLIT",IF(AND(K33="TPO RTL SPLIT",S33&lt;0.01),P33,IF(AND(K33="TPO RTL SPLIT",S33&gt;0,((L33/2)+(S33/2))&gt;(D33*0.0015)),(L33/2)+(S33/2),IF(AND(K33="TPO RTL SPLIT",$S33&gt;0,((L33/2)+(S33/2))&lt;(D33*0.0015)),D33*0.0015,0)))),0)</f>
        <v>0</v>
      </c>
      <c r="U33" s="42"/>
    </row>
    <row r="34" spans="1:21" x14ac:dyDescent="0.25">
      <c r="A34" s="31"/>
      <c r="B34" s="31"/>
      <c r="C34" s="31"/>
      <c r="D34" s="32"/>
      <c r="E34" s="33"/>
      <c r="F34" s="34"/>
      <c r="G34" s="34"/>
      <c r="H34" s="34"/>
      <c r="I34" s="34"/>
      <c r="J34" s="36" t="str">
        <f t="shared" si="2"/>
        <v/>
      </c>
      <c r="K34" s="33"/>
      <c r="L34" s="25">
        <f t="shared" si="3"/>
        <v>0</v>
      </c>
      <c r="M34" s="25">
        <f t="shared" si="0"/>
        <v>0</v>
      </c>
      <c r="N34" s="25">
        <f t="shared" si="4"/>
        <v>0</v>
      </c>
      <c r="O34" s="25">
        <f t="shared" si="5"/>
        <v>0</v>
      </c>
      <c r="P34" s="30" t="str" cm="1">
        <f t="array" ref="P34">IFERROR(IF(ISNUMBER(_xlfn.IFS(K34="RTL SPLIT",J34*D34*E34,K34="DSCR SPLIT",J34*D34,K34="TPO DSCR SPLIT",J34*D34,K34="TPO RTL SPLIT",J34*D34*E34*100)),_xlfn.IFS(K34="RTL SPLIT",J34*D34*E34,K34="DSCR SPLIT",J34*D34,K34="TPO DSCR SPLIT",J34*D34,K34="TPO RTL SPLIT",J34*D34*E34*100),""),0)</f>
        <v/>
      </c>
      <c r="Q34" s="34"/>
      <c r="R34" s="34"/>
      <c r="S34" s="25">
        <f t="shared" si="1"/>
        <v>0</v>
      </c>
      <c r="T34" s="40" cm="1">
        <f t="array" ref="T34">IFERROR(_xlfn.IFS(K34="BRIDGE",L34+S34,K34="DSCR",M34,K34="RETAIL DSCR",M34,K34="DSCR TPO",N34,K34="RTL SPLIT",P34+(S34/2),K34="DSCR SPLIT",P34,K34="TPO DSCR SPLIT",P34,K34="Bridge TPO",IF(AND(K34="BRIDGE TPO",S34&lt;0.01),O34,IF(AND(K34="Bridge TPO",$S34&gt;0,(L34+S34)&gt;(D34*0.003)),L34+S34,IF(AND(K34="Bridge TPO",$S34&gt;0,(L34+S34)&lt;(D34*0.003)),D34*0.003,0))),K34="TPO RTL SPLIT",IF(AND(K34="TPO RTL SPLIT",S34&lt;0.01),P34,IF(AND(K34="TPO RTL SPLIT",S34&gt;0,((L34/2)+(S34/2))&gt;(D34*0.0015)),(L34/2)+(S34/2),IF(AND(K34="TPO RTL SPLIT",$S34&gt;0,((L34/2)+(S34/2))&lt;(D34*0.0015)),D34*0.0015,0)))),0)</f>
        <v>0</v>
      </c>
      <c r="U34" s="42"/>
    </row>
    <row r="35" spans="1:21" x14ac:dyDescent="0.25">
      <c r="A35" s="31"/>
      <c r="B35" s="31"/>
      <c r="C35" s="31"/>
      <c r="D35" s="32"/>
      <c r="E35" s="33"/>
      <c r="F35" s="34"/>
      <c r="G35" s="34"/>
      <c r="H35" s="34"/>
      <c r="I35" s="34"/>
      <c r="J35" s="36" t="str">
        <f t="shared" si="2"/>
        <v/>
      </c>
      <c r="K35" s="33"/>
      <c r="L35" s="25">
        <f t="shared" si="3"/>
        <v>0</v>
      </c>
      <c r="M35" s="25">
        <f t="shared" si="0"/>
        <v>0</v>
      </c>
      <c r="N35" s="25">
        <f t="shared" si="4"/>
        <v>0</v>
      </c>
      <c r="O35" s="25">
        <f t="shared" si="5"/>
        <v>0</v>
      </c>
      <c r="P35" s="30" t="str" cm="1">
        <f t="array" ref="P35">IFERROR(IF(ISNUMBER(_xlfn.IFS(K35="RTL SPLIT",J35*D35*E35,K35="DSCR SPLIT",J35*D35,K35="TPO DSCR SPLIT",J35*D35,K35="TPO RTL SPLIT",J35*D35*E35*100)),_xlfn.IFS(K35="RTL SPLIT",J35*D35*E35,K35="DSCR SPLIT",J35*D35,K35="TPO DSCR SPLIT",J35*D35,K35="TPO RTL SPLIT",J35*D35*E35*100),""),0)</f>
        <v/>
      </c>
      <c r="Q35" s="34"/>
      <c r="R35" s="34"/>
      <c r="S35" s="25">
        <f t="shared" si="1"/>
        <v>0</v>
      </c>
      <c r="T35" s="40" cm="1">
        <f t="array" ref="T35">IFERROR(_xlfn.IFS(K35="BRIDGE",L35+S35,K35="DSCR",M35,K35="RETAIL DSCR",M35,K35="DSCR TPO",N35,K35="RTL SPLIT",P35+(S35/2),K35="DSCR SPLIT",P35,K35="TPO DSCR SPLIT",P35,K35="Bridge TPO",IF(AND(K35="BRIDGE TPO",S35&lt;0.01),O35,IF(AND(K35="Bridge TPO",$S35&gt;0,(L35+S35)&gt;(D35*0.003)),L35+S35,IF(AND(K35="Bridge TPO",$S35&gt;0,(L35+S35)&lt;(D35*0.003)),D35*0.003,0))),K35="TPO RTL SPLIT",IF(AND(K35="TPO RTL SPLIT",S35&lt;0.01),P35,IF(AND(K35="TPO RTL SPLIT",S35&gt;0,((L35/2)+(S35/2))&gt;(D35*0.0015)),(L35/2)+(S35/2),IF(AND(K35="TPO RTL SPLIT",$S35&gt;0,((L35/2)+(S35/2))&lt;(D35*0.0015)),D35*0.0015,0)))),0)</f>
        <v>0</v>
      </c>
      <c r="U35" s="42"/>
    </row>
    <row r="36" spans="1:21" x14ac:dyDescent="0.25">
      <c r="A36" s="31"/>
      <c r="B36" s="31"/>
      <c r="C36" s="31"/>
      <c r="D36" s="32"/>
      <c r="E36" s="33"/>
      <c r="F36" s="34"/>
      <c r="G36" s="34"/>
      <c r="H36" s="34"/>
      <c r="I36" s="34"/>
      <c r="J36" s="36" t="str">
        <f t="shared" si="2"/>
        <v/>
      </c>
      <c r="K36" s="33"/>
      <c r="L36" s="25">
        <f t="shared" si="3"/>
        <v>0</v>
      </c>
      <c r="M36" s="25">
        <f t="shared" si="0"/>
        <v>0</v>
      </c>
      <c r="N36" s="25">
        <f t="shared" si="4"/>
        <v>0</v>
      </c>
      <c r="O36" s="25">
        <f t="shared" si="5"/>
        <v>0</v>
      </c>
      <c r="P36" s="30" t="str" cm="1">
        <f t="array" ref="P36">IFERROR(IF(ISNUMBER(_xlfn.IFS(K36="RTL SPLIT",J36*D36*E36,K36="DSCR SPLIT",J36*D36,K36="TPO DSCR SPLIT",J36*D36,K36="TPO RTL SPLIT",J36*D36*E36*100)),_xlfn.IFS(K36="RTL SPLIT",J36*D36*E36,K36="DSCR SPLIT",J36*D36,K36="TPO DSCR SPLIT",J36*D36,K36="TPO RTL SPLIT",J36*D36*E36*100),""),0)</f>
        <v/>
      </c>
      <c r="Q36" s="34"/>
      <c r="R36" s="34"/>
      <c r="S36" s="25">
        <f t="shared" si="1"/>
        <v>0</v>
      </c>
      <c r="T36" s="40" cm="1">
        <f t="array" ref="T36">IFERROR(_xlfn.IFS(K36="BRIDGE",L36+S36,K36="DSCR",M36,K36="RETAIL DSCR",M36,K36="DSCR TPO",N36,K36="RTL SPLIT",P36+(S36/2),K36="DSCR SPLIT",P36,K36="TPO DSCR SPLIT",P36,K36="Bridge TPO",IF(AND(K36="BRIDGE TPO",S36&lt;0.01),O36,IF(AND(K36="Bridge TPO",$S36&gt;0,(L36+S36)&gt;(D36*0.003)),L36+S36,IF(AND(K36="Bridge TPO",$S36&gt;0,(L36+S36)&lt;(D36*0.003)),D36*0.003,0))),K36="TPO RTL SPLIT",IF(AND(K36="TPO RTL SPLIT",S36&lt;0.01),P36,IF(AND(K36="TPO RTL SPLIT",S36&gt;0,((L36/2)+(S36/2))&gt;(D36*0.0015)),(L36/2)+(S36/2),IF(AND(K36="TPO RTL SPLIT",$S36&gt;0,((L36/2)+(S36/2))&lt;(D36*0.0015)),D36*0.0015,0)))),0)</f>
        <v>0</v>
      </c>
      <c r="U36" s="42"/>
    </row>
    <row r="37" spans="1:21" x14ac:dyDescent="0.25">
      <c r="A37" s="31"/>
      <c r="B37" s="31"/>
      <c r="C37" s="31"/>
      <c r="D37" s="32"/>
      <c r="E37" s="33"/>
      <c r="F37" s="34"/>
      <c r="G37" s="34"/>
      <c r="H37" s="34"/>
      <c r="I37" s="34"/>
      <c r="J37" s="36" t="str">
        <f t="shared" si="2"/>
        <v/>
      </c>
      <c r="K37" s="33"/>
      <c r="L37" s="25">
        <f t="shared" si="3"/>
        <v>0</v>
      </c>
      <c r="M37" s="25">
        <f t="shared" si="0"/>
        <v>0</v>
      </c>
      <c r="N37" s="25">
        <f t="shared" si="4"/>
        <v>0</v>
      </c>
      <c r="O37" s="25">
        <f t="shared" si="5"/>
        <v>0</v>
      </c>
      <c r="P37" s="30" t="str" cm="1">
        <f t="array" ref="P37">IFERROR(IF(ISNUMBER(_xlfn.IFS(K37="RTL SPLIT",J37*D37*E37,K37="DSCR SPLIT",J37*D37,K37="TPO DSCR SPLIT",J37*D37,K37="TPO RTL SPLIT",J37*D37*E37*100)),_xlfn.IFS(K37="RTL SPLIT",J37*D37*E37,K37="DSCR SPLIT",J37*D37,K37="TPO DSCR SPLIT",J37*D37,K37="TPO RTL SPLIT",J37*D37*E37*100),""),0)</f>
        <v/>
      </c>
      <c r="Q37" s="34"/>
      <c r="R37" s="34"/>
      <c r="S37" s="25">
        <f t="shared" si="1"/>
        <v>0</v>
      </c>
      <c r="T37" s="40" cm="1">
        <f t="array" ref="T37">IFERROR(_xlfn.IFS(K37="BRIDGE",L37+S37,K37="DSCR",M37,K37="RETAIL DSCR",M37,K37="DSCR TPO",N37,K37="RTL SPLIT",P37+(S37/2),K37="DSCR SPLIT",P37,K37="TPO DSCR SPLIT",P37,K37="Bridge TPO",IF(AND(K37="BRIDGE TPO",S37&lt;0.01),O37,IF(AND(K37="Bridge TPO",$S37&gt;0,(L37+S37)&gt;(D37*0.003)),L37+S37,IF(AND(K37="Bridge TPO",$S37&gt;0,(L37+S37)&lt;(D37*0.003)),D37*0.003,0))),K37="TPO RTL SPLIT",IF(AND(K37="TPO RTL SPLIT",S37&lt;0.01),P37,IF(AND(K37="TPO RTL SPLIT",S37&gt;0,((L37/2)+(S37/2))&gt;(D37*0.0015)),(L37/2)+(S37/2),IF(AND(K37="TPO RTL SPLIT",$S37&gt;0,((L37/2)+(S37/2))&lt;(D37*0.0015)),D37*0.0015,0)))),0)</f>
        <v>0</v>
      </c>
      <c r="U37" s="42"/>
    </row>
    <row r="38" spans="1:21" x14ac:dyDescent="0.25">
      <c r="A38" s="31"/>
      <c r="B38" s="31"/>
      <c r="C38" s="31"/>
      <c r="D38" s="32"/>
      <c r="E38" s="33"/>
      <c r="F38" s="34"/>
      <c r="G38" s="34"/>
      <c r="H38" s="34"/>
      <c r="I38" s="34"/>
      <c r="J38" s="36" t="str">
        <f t="shared" si="2"/>
        <v/>
      </c>
      <c r="K38" s="33"/>
      <c r="L38" s="25">
        <f t="shared" si="3"/>
        <v>0</v>
      </c>
      <c r="M38" s="25">
        <f t="shared" si="0"/>
        <v>0</v>
      </c>
      <c r="N38" s="25">
        <f t="shared" si="4"/>
        <v>0</v>
      </c>
      <c r="O38" s="25">
        <f t="shared" si="5"/>
        <v>0</v>
      </c>
      <c r="P38" s="30" t="str" cm="1">
        <f t="array" ref="P38">IFERROR(IF(ISNUMBER(_xlfn.IFS(K38="RTL SPLIT",J38*D38*E38,K38="DSCR SPLIT",J38*D38,K38="TPO DSCR SPLIT",J38*D38,K38="TPO RTL SPLIT",J38*D38*E38*100)),_xlfn.IFS(K38="RTL SPLIT",J38*D38*E38,K38="DSCR SPLIT",J38*D38,K38="TPO DSCR SPLIT",J38*D38,K38="TPO RTL SPLIT",J38*D38*E38*100),""),0)</f>
        <v/>
      </c>
      <c r="Q38" s="34"/>
      <c r="R38" s="34"/>
      <c r="S38" s="25">
        <f t="shared" si="1"/>
        <v>0</v>
      </c>
      <c r="T38" s="40" cm="1">
        <f t="array" ref="T38">IFERROR(_xlfn.IFS(K38="BRIDGE",L38+S38,K38="DSCR",M38,K38="RETAIL DSCR",M38,K38="DSCR TPO",N38,K38="RTL SPLIT",P38+(S38/2),K38="DSCR SPLIT",P38,K38="TPO DSCR SPLIT",P38,K38="Bridge TPO",IF(AND(K38="BRIDGE TPO",S38&lt;0.01),O38,IF(AND(K38="Bridge TPO",$S38&gt;0,(L38+S38)&gt;(D38*0.003)),L38+S38,IF(AND(K38="Bridge TPO",$S38&gt;0,(L38+S38)&lt;(D38*0.003)),D38*0.003,0))),K38="TPO RTL SPLIT",IF(AND(K38="TPO RTL SPLIT",S38&lt;0.01),P38,IF(AND(K38="TPO RTL SPLIT",S38&gt;0,((L38/2)+(S38/2))&gt;(D38*0.0015)),(L38/2)+(S38/2),IF(AND(K38="TPO RTL SPLIT",$S38&gt;0,((L38/2)+(S38/2))&lt;(D38*0.0015)),D38*0.0015,0)))),0)</f>
        <v>0</v>
      </c>
      <c r="U38" s="42"/>
    </row>
    <row r="39" spans="1:21" x14ac:dyDescent="0.25">
      <c r="A39" s="31"/>
      <c r="B39" s="31"/>
      <c r="C39" s="31"/>
      <c r="D39" s="32"/>
      <c r="E39" s="33"/>
      <c r="F39" s="34"/>
      <c r="G39" s="34"/>
      <c r="H39" s="34"/>
      <c r="I39" s="34"/>
      <c r="J39" s="36" t="str">
        <f t="shared" si="2"/>
        <v/>
      </c>
      <c r="K39" s="33"/>
      <c r="L39" s="25">
        <f t="shared" si="3"/>
        <v>0</v>
      </c>
      <c r="M39" s="25">
        <f t="shared" si="0"/>
        <v>0</v>
      </c>
      <c r="N39" s="25">
        <f t="shared" si="4"/>
        <v>0</v>
      </c>
      <c r="O39" s="25">
        <f t="shared" si="5"/>
        <v>0</v>
      </c>
      <c r="P39" s="30" t="str" cm="1">
        <f t="array" ref="P39">IFERROR(IF(ISNUMBER(_xlfn.IFS(K39="RTL SPLIT",J39*D39*E39,K39="DSCR SPLIT",J39*D39,K39="TPO DSCR SPLIT",J39*D39,K39="TPO RTL SPLIT",J39*D39*E39*100)),_xlfn.IFS(K39="RTL SPLIT",J39*D39*E39,K39="DSCR SPLIT",J39*D39,K39="TPO DSCR SPLIT",J39*D39,K39="TPO RTL SPLIT",J39*D39*E39*100),""),0)</f>
        <v/>
      </c>
      <c r="Q39" s="34"/>
      <c r="R39" s="34"/>
      <c r="S39" s="25">
        <f t="shared" si="1"/>
        <v>0</v>
      </c>
      <c r="T39" s="40" cm="1">
        <f t="array" ref="T39">IFERROR(_xlfn.IFS(K39="BRIDGE",L39+S39,K39="DSCR",M39,K39="RETAIL DSCR",M39,K39="DSCR TPO",N39,K39="RTL SPLIT",P39+(S39/2),K39="DSCR SPLIT",P39,K39="TPO DSCR SPLIT",P39,K39="Bridge TPO",IF(AND(K39="BRIDGE TPO",S39&lt;0.01),O39,IF(AND(K39="Bridge TPO",$S39&gt;0,(L39+S39)&gt;(D39*0.003)),L39+S39,IF(AND(K39="Bridge TPO",$S39&gt;0,(L39+S39)&lt;(D39*0.003)),D39*0.003,0))),K39="TPO RTL SPLIT",IF(AND(K39="TPO RTL SPLIT",S39&lt;0.01),P39,IF(AND(K39="TPO RTL SPLIT",S39&gt;0,((L39/2)+(S39/2))&gt;(D39*0.0015)),(L39/2)+(S39/2),IF(AND(K39="TPO RTL SPLIT",$S39&gt;0,((L39/2)+(S39/2))&lt;(D39*0.0015)),D39*0.0015,0)))),0)</f>
        <v>0</v>
      </c>
      <c r="U39" s="42"/>
    </row>
    <row r="40" spans="1:21" x14ac:dyDescent="0.25">
      <c r="A40" s="31"/>
      <c r="B40" s="31"/>
      <c r="C40" s="31"/>
      <c r="D40" s="32"/>
      <c r="E40" s="33"/>
      <c r="F40" s="34"/>
      <c r="G40" s="34"/>
      <c r="H40" s="34"/>
      <c r="I40" s="34"/>
      <c r="J40" s="36" t="str">
        <f t="shared" si="2"/>
        <v/>
      </c>
      <c r="K40" s="33"/>
      <c r="L40" s="25">
        <f t="shared" si="3"/>
        <v>0</v>
      </c>
      <c r="M40" s="25">
        <f t="shared" si="0"/>
        <v>0</v>
      </c>
      <c r="N40" s="25">
        <f t="shared" si="4"/>
        <v>0</v>
      </c>
      <c r="O40" s="25">
        <f t="shared" si="5"/>
        <v>0</v>
      </c>
      <c r="P40" s="30" t="str" cm="1">
        <f t="array" ref="P40">IFERROR(IF(ISNUMBER(_xlfn.IFS(K40="RTL SPLIT",J40*D40*E40,K40="DSCR SPLIT",J40*D40,K40="TPO DSCR SPLIT",J40*D40,K40="TPO RTL SPLIT",J40*D40*E40*100)),_xlfn.IFS(K40="RTL SPLIT",J40*D40*E40,K40="DSCR SPLIT",J40*D40,K40="TPO DSCR SPLIT",J40*D40,K40="TPO RTL SPLIT",J40*D40*E40*100),""),0)</f>
        <v/>
      </c>
      <c r="Q40" s="34"/>
      <c r="R40" s="34"/>
      <c r="S40" s="25">
        <f t="shared" si="1"/>
        <v>0</v>
      </c>
      <c r="T40" s="40" cm="1">
        <f t="array" ref="T40">IFERROR(_xlfn.IFS(K40="BRIDGE",L40+S40,K40="DSCR",M40,K40="RETAIL DSCR",M40,K40="DSCR TPO",N40,K40="RTL SPLIT",P40+(S40/2),K40="DSCR SPLIT",P40,K40="TPO DSCR SPLIT",P40,K40="Bridge TPO",IF(AND(K40="BRIDGE TPO",S40&lt;0.01),O40,IF(AND(K40="Bridge TPO",$S40&gt;0,(L40+S40)&gt;(D40*0.003)),L40+S40,IF(AND(K40="Bridge TPO",$S40&gt;0,(L40+S40)&lt;(D40*0.003)),D40*0.003,0))),K40="TPO RTL SPLIT",IF(AND(K40="TPO RTL SPLIT",S40&lt;0.01),P40,IF(AND(K40="TPO RTL SPLIT",S40&gt;0,((L40/2)+(S40/2))&gt;(D40*0.0015)),(L40/2)+(S40/2),IF(AND(K40="TPO RTL SPLIT",$S40&gt;0,((L40/2)+(S40/2))&lt;(D40*0.0015)),D40*0.0015,0)))),0)</f>
        <v>0</v>
      </c>
      <c r="U40" s="42"/>
    </row>
    <row r="41" spans="1:21" x14ac:dyDescent="0.25">
      <c r="A41" s="31"/>
      <c r="B41" s="31"/>
      <c r="C41" s="31"/>
      <c r="D41" s="32"/>
      <c r="E41" s="33"/>
      <c r="F41" s="34"/>
      <c r="G41" s="34"/>
      <c r="H41" s="34"/>
      <c r="I41" s="34"/>
      <c r="J41" s="36" t="str">
        <f t="shared" si="2"/>
        <v/>
      </c>
      <c r="K41" s="33"/>
      <c r="L41" s="25">
        <f t="shared" si="3"/>
        <v>0</v>
      </c>
      <c r="M41" s="25">
        <f t="shared" si="0"/>
        <v>0</v>
      </c>
      <c r="N41" s="25">
        <f t="shared" si="4"/>
        <v>0</v>
      </c>
      <c r="O41" s="25">
        <f t="shared" si="5"/>
        <v>0</v>
      </c>
      <c r="P41" s="30" t="str" cm="1">
        <f t="array" ref="P41">IFERROR(IF(ISNUMBER(_xlfn.IFS(K41="RTL SPLIT",J41*D41*E41,K41="DSCR SPLIT",J41*D41,K41="TPO DSCR SPLIT",J41*D41,K41="TPO RTL SPLIT",J41*D41*E41*100)),_xlfn.IFS(K41="RTL SPLIT",J41*D41*E41,K41="DSCR SPLIT",J41*D41,K41="TPO DSCR SPLIT",J41*D41,K41="TPO RTL SPLIT",J41*D41*E41*100),""),0)</f>
        <v/>
      </c>
      <c r="Q41" s="34"/>
      <c r="R41" s="34"/>
      <c r="S41" s="25">
        <f t="shared" si="1"/>
        <v>0</v>
      </c>
      <c r="T41" s="40" cm="1">
        <f t="array" ref="T41">IFERROR(_xlfn.IFS(K41="BRIDGE",L41+S41,K41="DSCR",M41,K41="RETAIL DSCR",M41,K41="DSCR TPO",N41,K41="RTL SPLIT",P41+(S41/2),K41="DSCR SPLIT",P41,K41="TPO DSCR SPLIT",P41,K41="Bridge TPO",IF(AND(K41="BRIDGE TPO",S41&lt;0.01),O41,IF(AND(K41="Bridge TPO",$S41&gt;0,(L41+S41)&gt;(D41*0.003)),L41+S41,IF(AND(K41="Bridge TPO",$S41&gt;0,(L41+S41)&lt;(D41*0.003)),D41*0.003,0))),K41="TPO RTL SPLIT",IF(AND(K41="TPO RTL SPLIT",S41&lt;0.01),P41,IF(AND(K41="TPO RTL SPLIT",S41&gt;0,((L41/2)+(S41/2))&gt;(D41*0.0015)),(L41/2)+(S41/2),IF(AND(K41="TPO RTL SPLIT",$S41&gt;0,((L41/2)+(S41/2))&lt;(D41*0.0015)),D41*0.0015,0)))),0)</f>
        <v>0</v>
      </c>
      <c r="U41" s="42"/>
    </row>
    <row r="42" spans="1:21" x14ac:dyDescent="0.25">
      <c r="A42" s="31"/>
      <c r="B42" s="31"/>
      <c r="C42" s="31"/>
      <c r="D42" s="32"/>
      <c r="E42" s="33"/>
      <c r="F42" s="34"/>
      <c r="G42" s="34"/>
      <c r="H42" s="34"/>
      <c r="I42" s="34"/>
      <c r="J42" s="36" t="str">
        <f t="shared" si="2"/>
        <v/>
      </c>
      <c r="K42" s="33"/>
      <c r="L42" s="25">
        <f t="shared" si="3"/>
        <v>0</v>
      </c>
      <c r="M42" s="25">
        <f t="shared" si="0"/>
        <v>0</v>
      </c>
      <c r="N42" s="25">
        <f t="shared" si="4"/>
        <v>0</v>
      </c>
      <c r="O42" s="25">
        <f t="shared" si="5"/>
        <v>0</v>
      </c>
      <c r="P42" s="30" t="str" cm="1">
        <f t="array" ref="P42">IFERROR(IF(ISNUMBER(_xlfn.IFS(K42="RTL SPLIT",J42*D42*E42,K42="DSCR SPLIT",J42*D42,K42="TPO DSCR SPLIT",J42*D42,K42="TPO RTL SPLIT",J42*D42*E42*100)),_xlfn.IFS(K42="RTL SPLIT",J42*D42*E42,K42="DSCR SPLIT",J42*D42,K42="TPO DSCR SPLIT",J42*D42,K42="TPO RTL SPLIT",J42*D42*E42*100),""),0)</f>
        <v/>
      </c>
      <c r="Q42" s="34"/>
      <c r="R42" s="34"/>
      <c r="S42" s="25">
        <f t="shared" si="1"/>
        <v>0</v>
      </c>
      <c r="T42" s="40" cm="1">
        <f t="array" ref="T42">IFERROR(_xlfn.IFS(K42="BRIDGE",L42+S42,K42="DSCR",M42,K42="RETAIL DSCR",M42,K42="DSCR TPO",N42,K42="RTL SPLIT",P42+(S42/2),K42="DSCR SPLIT",P42,K42="TPO DSCR SPLIT",P42,K42="Bridge TPO",IF(AND(K42="BRIDGE TPO",S42&lt;0.01),O42,IF(AND(K42="Bridge TPO",$S42&gt;0,(L42+S42)&gt;(D42*0.003)),L42+S42,IF(AND(K42="Bridge TPO",$S42&gt;0,(L42+S42)&lt;(D42*0.003)),D42*0.003,0))),K42="TPO RTL SPLIT",IF(AND(K42="TPO RTL SPLIT",S42&lt;0.01),P42,IF(AND(K42="TPO RTL SPLIT",S42&gt;0,((L42/2)+(S42/2))&gt;(D42*0.0015)),(L42/2)+(S42/2),IF(AND(K42="TPO RTL SPLIT",$S42&gt;0,((L42/2)+(S42/2))&lt;(D42*0.0015)),D42*0.0015,0)))),0)</f>
        <v>0</v>
      </c>
      <c r="U42" s="42"/>
    </row>
    <row r="43" spans="1:21" x14ac:dyDescent="0.25">
      <c r="A43" s="31"/>
      <c r="B43" s="31"/>
      <c r="C43" s="31"/>
      <c r="D43" s="32"/>
      <c r="E43" s="33"/>
      <c r="F43" s="34"/>
      <c r="G43" s="34"/>
      <c r="H43" s="34"/>
      <c r="I43" s="34"/>
      <c r="J43" s="36" t="str">
        <f t="shared" si="2"/>
        <v/>
      </c>
      <c r="K43" s="33"/>
      <c r="L43" s="25">
        <f t="shared" si="3"/>
        <v>0</v>
      </c>
      <c r="M43" s="25">
        <f t="shared" si="0"/>
        <v>0</v>
      </c>
      <c r="N43" s="25">
        <f t="shared" si="4"/>
        <v>0</v>
      </c>
      <c r="O43" s="25">
        <f t="shared" si="5"/>
        <v>0</v>
      </c>
      <c r="P43" s="30" t="str" cm="1">
        <f t="array" ref="P43">IFERROR(IF(ISNUMBER(_xlfn.IFS(K43="RTL SPLIT",J43*D43*E43,K43="DSCR SPLIT",J43*D43,K43="TPO DSCR SPLIT",J43*D43,K43="TPO RTL SPLIT",J43*D43*E43*100)),_xlfn.IFS(K43="RTL SPLIT",J43*D43*E43,K43="DSCR SPLIT",J43*D43,K43="TPO DSCR SPLIT",J43*D43,K43="TPO RTL SPLIT",J43*D43*E43*100),""),0)</f>
        <v/>
      </c>
      <c r="Q43" s="34"/>
      <c r="R43" s="34"/>
      <c r="S43" s="25">
        <f t="shared" si="1"/>
        <v>0</v>
      </c>
      <c r="T43" s="40" cm="1">
        <f t="array" ref="T43">IFERROR(_xlfn.IFS(K43="BRIDGE",L43+S43,K43="DSCR",M43,K43="RETAIL DSCR",M43,K43="DSCR TPO",N43,K43="RTL SPLIT",P43+(S43/2),K43="DSCR SPLIT",P43,K43="TPO DSCR SPLIT",P43,K43="Bridge TPO",IF(AND(K43="BRIDGE TPO",S43&lt;0.01),O43,IF(AND(K43="Bridge TPO",$S43&gt;0,(L43+S43)&gt;(D43*0.003)),L43+S43,IF(AND(K43="Bridge TPO",$S43&gt;0,(L43+S43)&lt;(D43*0.003)),D43*0.003,0))),K43="TPO RTL SPLIT",IF(AND(K43="TPO RTL SPLIT",S43&lt;0.01),P43,IF(AND(K43="TPO RTL SPLIT",S43&gt;0,((L43/2)+(S43/2))&gt;(D43*0.0015)),(L43/2)+(S43/2),IF(AND(K43="TPO RTL SPLIT",$S43&gt;0,((L43/2)+(S43/2))&lt;(D43*0.0015)),D43*0.0015,0)))),0)</f>
        <v>0</v>
      </c>
      <c r="U43" s="42"/>
    </row>
    <row r="44" spans="1:21" x14ac:dyDescent="0.25">
      <c r="A44" s="31"/>
      <c r="B44" s="31"/>
      <c r="C44" s="31"/>
      <c r="D44" s="32"/>
      <c r="E44" s="33"/>
      <c r="F44" s="34"/>
      <c r="G44" s="34"/>
      <c r="H44" s="34"/>
      <c r="I44" s="34"/>
      <c r="J44" s="36" t="str">
        <f>IF(ISNUMBER(IF(K44="RTL SPLIT",F44/2,IF(K44="DSCR SPLIT",G44/2,IF(K44="TPO RTL SPLIT",I44/2,IF(K44="TPO DSCR SPLIT",H44/2))))),IF(K44="RTL SPLIT",F44/2,IF(K44="DSCR SPLIT",G44/2,IF(K44="TPO RTL SPLIT",I44/2,IF(K44="TPO DSCR SPLIT",H44/2,0)))),"")</f>
        <v/>
      </c>
      <c r="K44" s="33"/>
      <c r="L44" s="25">
        <f t="shared" si="3"/>
        <v>0</v>
      </c>
      <c r="M44" s="25">
        <f t="shared" si="0"/>
        <v>0</v>
      </c>
      <c r="N44" s="25">
        <f t="shared" si="4"/>
        <v>0</v>
      </c>
      <c r="O44" s="25">
        <f t="shared" si="5"/>
        <v>0</v>
      </c>
      <c r="P44" s="30" t="str" cm="1">
        <f t="array" ref="P44">IFERROR(IF(ISNUMBER(_xlfn.IFS(K44="RTL SPLIT",J44*D44*E44,K44="DSCR SPLIT",J44*D44,K44="TPO DSCR SPLIT",J44*D44,K44="TPO RTL SPLIT",J44*D44*E44*100)),_xlfn.IFS(K44="RTL SPLIT",J44*D44*E44,K44="DSCR SPLIT",J44*D44,K44="TPO DSCR SPLIT",J44*D44,K44="TPO RTL SPLIT",J44*D44*E44*100),""),0)</f>
        <v/>
      </c>
      <c r="Q44" s="34"/>
      <c r="R44" s="34"/>
      <c r="S44" s="25">
        <f t="shared" si="1"/>
        <v>0</v>
      </c>
      <c r="T44" s="40" cm="1">
        <f t="array" ref="T44">IFERROR(_xlfn.IFS(K44="BRIDGE",L44+S44,K44="DSCR",M44,K44="RETAIL DSCR",M44,K44="DSCR TPO",N44,K44="RTL SPLIT",P44+(S44/2),K44="DSCR SPLIT",P44,K44="TPO DSCR SPLIT",P44,K44="Bridge TPO",IF(AND(K44="BRIDGE TPO",S44&lt;0.01),O44,IF(AND(K44="Bridge TPO",$S44&gt;0,(L44+S44)&gt;(D44*0.003)),L44+S44,IF(AND(K44="Bridge TPO",$S44&gt;0,(L44+S44)&lt;(D44*0.003)),D44*0.003,0))),K44="TPO RTL SPLIT",IF(AND(K44="TPO RTL SPLIT",S44&lt;0.01),P44,IF(AND(K44="TPO RTL SPLIT",S44&gt;0,((L44/2)+(S44/2))&gt;(D44*0.0015)),(L44/2)+(S44/2),IF(AND(K44="TPO RTL SPLIT",$S44&gt;0,((L44/2)+(S44/2))&lt;(D44*0.0015)),D44*0.0015,0)))),0)</f>
        <v>0</v>
      </c>
      <c r="U44" s="42"/>
    </row>
    <row r="45" spans="1:21" x14ac:dyDescent="0.25">
      <c r="A45" s="31"/>
      <c r="B45" s="31"/>
      <c r="C45" s="31"/>
      <c r="D45" s="32"/>
      <c r="E45" s="33"/>
      <c r="F45" s="34"/>
      <c r="G45" s="34"/>
      <c r="H45" s="34"/>
      <c r="I45" s="34"/>
      <c r="J45" s="36" t="str">
        <f t="shared" si="2"/>
        <v/>
      </c>
      <c r="K45" s="33"/>
      <c r="L45" s="25">
        <f t="shared" si="3"/>
        <v>0</v>
      </c>
      <c r="M45" s="25">
        <f t="shared" si="0"/>
        <v>0</v>
      </c>
      <c r="N45" s="25">
        <f t="shared" si="4"/>
        <v>0</v>
      </c>
      <c r="O45" s="25">
        <f t="shared" si="5"/>
        <v>0</v>
      </c>
      <c r="P45" s="30" t="str" cm="1">
        <f t="array" ref="P45">IFERROR(IF(ISNUMBER(_xlfn.IFS(K45="RTL SPLIT",J45*D45*E45,K45="DSCR SPLIT",J45*D45,K45="TPO DSCR SPLIT",J45*D45,K45="TPO RTL SPLIT",J45*D45*E45*100)),_xlfn.IFS(K45="RTL SPLIT",J45*D45*E45,K45="DSCR SPLIT",J45*D45,K45="TPO DSCR SPLIT",J45*D45,K45="TPO RTL SPLIT",J45*D45*E45*100),""),0)</f>
        <v/>
      </c>
      <c r="Q45" s="34"/>
      <c r="R45" s="34"/>
      <c r="S45" s="25">
        <f t="shared" si="1"/>
        <v>0</v>
      </c>
      <c r="T45" s="40" cm="1">
        <f t="array" ref="T45">IFERROR(_xlfn.IFS(K45="BRIDGE",L45+S45,K45="DSCR",M45,K45="RETAIL DSCR",M45,K45="DSCR TPO",N45,K45="RTL SPLIT",P45+(S45/2),K45="DSCR SPLIT",P45,K45="TPO DSCR SPLIT",P45,K45="Bridge TPO",IF(AND(K45="BRIDGE TPO",S45&lt;0.01),O45,IF(AND(K45="Bridge TPO",$S45&gt;0,(L45+S45)&gt;(D45*0.003)),L45+S45,IF(AND(K45="Bridge TPO",$S45&gt;0,(L45+S45)&lt;(D45*0.003)),D45*0.003,0))),K45="TPO RTL SPLIT",IF(AND(K45="TPO RTL SPLIT",S45&lt;0.01),P45,IF(AND(K45="TPO RTL SPLIT",S45&gt;0,((L45/2)+(S45/2))&gt;(D45*0.0015)),(L45/2)+(S45/2),IF(AND(K45="TPO RTL SPLIT",$S45&gt;0,((L45/2)+(S45/2))&lt;(D45*0.0015)),D45*0.0015,0)))),0)</f>
        <v>0</v>
      </c>
      <c r="U45" s="42"/>
    </row>
    <row r="46" spans="1:21" x14ac:dyDescent="0.25">
      <c r="A46" s="31"/>
      <c r="B46" s="31"/>
      <c r="C46" s="31"/>
      <c r="D46" s="32"/>
      <c r="E46" s="33"/>
      <c r="F46" s="34"/>
      <c r="G46" s="34"/>
      <c r="H46" s="34"/>
      <c r="I46" s="34"/>
      <c r="J46" s="36" t="str">
        <f t="shared" si="2"/>
        <v/>
      </c>
      <c r="K46" s="33"/>
      <c r="L46" s="25">
        <f t="shared" si="3"/>
        <v>0</v>
      </c>
      <c r="M46" s="25">
        <f t="shared" si="0"/>
        <v>0</v>
      </c>
      <c r="N46" s="25">
        <f t="shared" si="4"/>
        <v>0</v>
      </c>
      <c r="O46" s="25">
        <f t="shared" si="5"/>
        <v>0</v>
      </c>
      <c r="P46" s="30" t="str" cm="1">
        <f t="array" ref="P46">IFERROR(IF(ISNUMBER(_xlfn.IFS(K46="RTL SPLIT",J46*D46*E46,K46="DSCR SPLIT",J46*D46,K46="TPO DSCR SPLIT",J46*D46,K46="TPO RTL SPLIT",J46*D46*E46*100)),_xlfn.IFS(K46="RTL SPLIT",J46*D46*E46,K46="DSCR SPLIT",J46*D46,K46="TPO DSCR SPLIT",J46*D46,K46="TPO RTL SPLIT",J46*D46*E46*100),""),0)</f>
        <v/>
      </c>
      <c r="Q46" s="34"/>
      <c r="R46" s="34"/>
      <c r="S46" s="25">
        <f t="shared" si="1"/>
        <v>0</v>
      </c>
      <c r="T46" s="40" cm="1">
        <f t="array" ref="T46">IFERROR(_xlfn.IFS(K46="BRIDGE",L46+S46,K46="DSCR",M46,K46="RETAIL DSCR",M46,K46="DSCR TPO",N46,K46="RTL SPLIT",P46+(S46/2),K46="DSCR SPLIT",P46,K46="TPO DSCR SPLIT",P46,K46="Bridge TPO",IF(AND(K46="BRIDGE TPO",S46&lt;0.01),O46,IF(AND(K46="Bridge TPO",$S46&gt;0,(L46+S46)&gt;(D46*0.003)),L46+S46,IF(AND(K46="Bridge TPO",$S46&gt;0,(L46+S46)&lt;(D46*0.003)),D46*0.003,0))),K46="TPO RTL SPLIT",IF(AND(K46="TPO RTL SPLIT",S46&lt;0.01),P46,IF(AND(K46="TPO RTL SPLIT",S46&gt;0,((L46/2)+(S46/2))&gt;(D46*0.0015)),(L46/2)+(S46/2),IF(AND(K46="TPO RTL SPLIT",$S46&gt;0,((L46/2)+(S46/2))&lt;(D46*0.0015)),D46*0.0015,0)))),0)</f>
        <v>0</v>
      </c>
      <c r="U46" s="42"/>
    </row>
    <row r="47" spans="1:21" x14ac:dyDescent="0.25">
      <c r="A47" s="31"/>
      <c r="B47" s="31"/>
      <c r="C47" s="31"/>
      <c r="D47" s="32"/>
      <c r="E47" s="33"/>
      <c r="F47" s="34"/>
      <c r="G47" s="34"/>
      <c r="H47" s="34"/>
      <c r="I47" s="34"/>
      <c r="J47" s="36" t="str">
        <f t="shared" si="2"/>
        <v/>
      </c>
      <c r="K47" s="33"/>
      <c r="L47" s="25">
        <f t="shared" si="3"/>
        <v>0</v>
      </c>
      <c r="M47" s="25">
        <f t="shared" si="0"/>
        <v>0</v>
      </c>
      <c r="N47" s="25">
        <f t="shared" si="4"/>
        <v>0</v>
      </c>
      <c r="O47" s="25">
        <f t="shared" si="5"/>
        <v>0</v>
      </c>
      <c r="P47" s="30" t="str" cm="1">
        <f t="array" ref="P47">IFERROR(IF(ISNUMBER(_xlfn.IFS(K47="RTL SPLIT",J47*D47*E47,K47="DSCR SPLIT",J47*D47,K47="TPO DSCR SPLIT",J47*D47,K47="TPO RTL SPLIT",J47*D47*E47*100)),_xlfn.IFS(K47="RTL SPLIT",J47*D47*E47,K47="DSCR SPLIT",J47*D47,K47="TPO DSCR SPLIT",J47*D47,K47="TPO RTL SPLIT",J47*D47*E47*100),""),0)</f>
        <v/>
      </c>
      <c r="Q47" s="34"/>
      <c r="R47" s="34"/>
      <c r="S47" s="25">
        <f t="shared" si="1"/>
        <v>0</v>
      </c>
      <c r="T47" s="40" cm="1">
        <f t="array" ref="T47">IFERROR(_xlfn.IFS(K47="BRIDGE",L47+S47,K47="DSCR",M47,K47="RETAIL DSCR",M47,K47="DSCR TPO",N47,K47="RTL SPLIT",P47+(S47/2),K47="DSCR SPLIT",P47,K47="TPO DSCR SPLIT",P47,K47="Bridge TPO",IF(AND(K47="BRIDGE TPO",S47&lt;0.01),O47,IF(AND(K47="Bridge TPO",$S47&gt;0,(L47+S47)&gt;(D47*0.003)),L47+S47,IF(AND(K47="Bridge TPO",$S47&gt;0,(L47+S47)&lt;(D47*0.003)),D47*0.003,0))),K47="TPO RTL SPLIT",IF(AND(K47="TPO RTL SPLIT",S47&lt;0.01),P47,IF(AND(K47="TPO RTL SPLIT",S47&gt;0,((L47/2)+(S47/2))&gt;(D47*0.0015)),(L47/2)+(S47/2),IF(AND(K47="TPO RTL SPLIT",$S47&gt;0,((L47/2)+(S47/2))&lt;(D47*0.0015)),D47*0.0015,0)))),0)</f>
        <v>0</v>
      </c>
      <c r="U47" s="42"/>
    </row>
    <row r="48" spans="1:21" x14ac:dyDescent="0.25">
      <c r="A48" s="31"/>
      <c r="B48" s="31"/>
      <c r="C48" s="31"/>
      <c r="D48" s="32"/>
      <c r="E48" s="33"/>
      <c r="F48" s="34"/>
      <c r="G48" s="34"/>
      <c r="H48" s="34"/>
      <c r="I48" s="34"/>
      <c r="J48" s="36" t="str">
        <f t="shared" si="2"/>
        <v/>
      </c>
      <c r="K48" s="33"/>
      <c r="L48" s="25">
        <f t="shared" si="3"/>
        <v>0</v>
      </c>
      <c r="M48" s="25">
        <f t="shared" si="0"/>
        <v>0</v>
      </c>
      <c r="N48" s="25">
        <f t="shared" si="4"/>
        <v>0</v>
      </c>
      <c r="O48" s="25">
        <f t="shared" si="5"/>
        <v>0</v>
      </c>
      <c r="P48" s="30" t="str" cm="1">
        <f t="array" ref="P48">IFERROR(IF(ISNUMBER(_xlfn.IFS(K48="RTL SPLIT",J48*D48*E48,K48="DSCR SPLIT",J48*D48,K48="TPO DSCR SPLIT",J48*D48,K48="TPO RTL SPLIT",J48*D48*E48*100)),_xlfn.IFS(K48="RTL SPLIT",J48*D48*E48,K48="DSCR SPLIT",J48*D48,K48="TPO DSCR SPLIT",J48*D48,K48="TPO RTL SPLIT",J48*D48*E48*100),""),0)</f>
        <v/>
      </c>
      <c r="Q48" s="34"/>
      <c r="R48" s="34"/>
      <c r="S48" s="25">
        <f t="shared" si="1"/>
        <v>0</v>
      </c>
      <c r="T48" s="40" cm="1">
        <f t="array" ref="T48">IFERROR(_xlfn.IFS(K48="BRIDGE",L48+S48,K48="DSCR",M48,K48="RETAIL DSCR",M48,K48="DSCR TPO",N48,K48="RTL SPLIT",P48+(S48/2),K48="DSCR SPLIT",P48,K48="TPO DSCR SPLIT",P48,K48="Bridge TPO",IF(AND(K48="BRIDGE TPO",S48&lt;0.01),O48,IF(AND(K48="Bridge TPO",$S48&gt;0,(L48+S48)&gt;(D48*0.003)),L48+S48,IF(AND(K48="Bridge TPO",$S48&gt;0,(L48+S48)&lt;(D48*0.003)),D48*0.003,0))),K48="TPO RTL SPLIT",IF(AND(K48="TPO RTL SPLIT",S48&lt;0.01),P48,IF(AND(K48="TPO RTL SPLIT",S48&gt;0,((L48/2)+(S48/2))&gt;(D48*0.0015)),(L48/2)+(S48/2),IF(AND(K48="TPO RTL SPLIT",$S48&gt;0,((L48/2)+(S48/2))&lt;(D48*0.0015)),D48*0.0015,0)))),0)</f>
        <v>0</v>
      </c>
      <c r="U48" s="42"/>
    </row>
    <row r="49" spans="1:21" x14ac:dyDescent="0.25">
      <c r="A49" s="31"/>
      <c r="B49" s="31"/>
      <c r="C49" s="31"/>
      <c r="D49" s="32"/>
      <c r="E49" s="33"/>
      <c r="F49" s="34"/>
      <c r="G49" s="34"/>
      <c r="H49" s="34"/>
      <c r="I49" s="34"/>
      <c r="J49" s="36" t="str">
        <f t="shared" si="2"/>
        <v/>
      </c>
      <c r="K49" s="33"/>
      <c r="L49" s="25">
        <f t="shared" si="3"/>
        <v>0</v>
      </c>
      <c r="M49" s="25">
        <f t="shared" si="0"/>
        <v>0</v>
      </c>
      <c r="N49" s="25">
        <f t="shared" si="4"/>
        <v>0</v>
      </c>
      <c r="O49" s="25">
        <f t="shared" si="5"/>
        <v>0</v>
      </c>
      <c r="P49" s="30" t="str" cm="1">
        <f t="array" ref="P49">IFERROR(IF(ISNUMBER(_xlfn.IFS(K49="RTL SPLIT",J49*D49*E49,K49="DSCR SPLIT",J49*D49,K49="TPO DSCR SPLIT",J49*D49,K49="TPO RTL SPLIT",J49*D49*E49*100)),_xlfn.IFS(K49="RTL SPLIT",J49*D49*E49,K49="DSCR SPLIT",J49*D49,K49="TPO DSCR SPLIT",J49*D49,K49="TPO RTL SPLIT",J49*D49*E49*100),""),0)</f>
        <v/>
      </c>
      <c r="Q49" s="34"/>
      <c r="R49" s="34"/>
      <c r="S49" s="25">
        <f t="shared" si="1"/>
        <v>0</v>
      </c>
      <c r="T49" s="40" cm="1">
        <f t="array" ref="T49">IFERROR(_xlfn.IFS(K49="BRIDGE",L49+S49,K49="DSCR",M49,K49="RETAIL DSCR",M49,K49="DSCR TPO",N49,K49="RTL SPLIT",P49+(S49/2),K49="DSCR SPLIT",P49,K49="TPO DSCR SPLIT",P49,K49="Bridge TPO",IF(AND(K49="BRIDGE TPO",S49&lt;0.01),O49,IF(AND(K49="Bridge TPO",$S49&gt;0,(L49+S49)&gt;(D49*0.003)),L49+S49,IF(AND(K49="Bridge TPO",$S49&gt;0,(L49+S49)&lt;(D49*0.003)),D49*0.003,0))),K49="TPO RTL SPLIT",IF(AND(K49="TPO RTL SPLIT",S49&lt;0.01),P49,IF(AND(K49="TPO RTL SPLIT",S49&gt;0,((L49/2)+(S49/2))&gt;(D49*0.0015)),(L49/2)+(S49/2),IF(AND(K49="TPO RTL SPLIT",$S49&gt;0,((L49/2)+(S49/2))&lt;(D49*0.0015)),D49*0.0015,0)))),0)</f>
        <v>0</v>
      </c>
      <c r="U49" s="42"/>
    </row>
    <row r="50" spans="1:21" x14ac:dyDescent="0.25">
      <c r="A50" s="31"/>
      <c r="B50" s="31"/>
      <c r="C50" s="31"/>
      <c r="D50" s="32"/>
      <c r="E50" s="33"/>
      <c r="F50" s="34"/>
      <c r="G50" s="34"/>
      <c r="H50" s="34"/>
      <c r="I50" s="34"/>
      <c r="J50" s="36" t="str">
        <f t="shared" si="2"/>
        <v/>
      </c>
      <c r="K50" s="33"/>
      <c r="L50" s="25">
        <f t="shared" si="3"/>
        <v>0</v>
      </c>
      <c r="M50" s="25">
        <f t="shared" si="0"/>
        <v>0</v>
      </c>
      <c r="N50" s="25">
        <f t="shared" si="4"/>
        <v>0</v>
      </c>
      <c r="O50" s="25">
        <f t="shared" si="5"/>
        <v>0</v>
      </c>
      <c r="P50" s="30" t="str" cm="1">
        <f t="array" ref="P50">IFERROR(IF(ISNUMBER(_xlfn.IFS(K50="RTL SPLIT",J50*D50*E50,K50="DSCR SPLIT",J50*D50,K50="TPO DSCR SPLIT",J50*D50,K50="TPO RTL SPLIT",J50*D50*E50*100)),_xlfn.IFS(K50="RTL SPLIT",J50*D50*E50,K50="DSCR SPLIT",J50*D50,K50="TPO DSCR SPLIT",J50*D50,K50="TPO RTL SPLIT",J50*D50*E50*100),""),0)</f>
        <v/>
      </c>
      <c r="Q50" s="34"/>
      <c r="R50" s="34"/>
      <c r="S50" s="25">
        <f t="shared" si="1"/>
        <v>0</v>
      </c>
      <c r="T50" s="40" cm="1">
        <f t="array" ref="T50">IFERROR(_xlfn.IFS(K50="BRIDGE",L50+S50,K50="DSCR",M50,K50="RETAIL DSCR",M50,K50="DSCR TPO",N50,K50="RTL SPLIT",P50+(S50/2),K50="DSCR SPLIT",P50,K50="TPO DSCR SPLIT",P50,K50="Bridge TPO",IF(AND(K50="BRIDGE TPO",S50&lt;0.01),O50,IF(AND(K50="Bridge TPO",$S50&gt;0,(L50+S50)&gt;(D50*0.003)),L50+S50,IF(AND(K50="Bridge TPO",$S50&gt;0,(L50+S50)&lt;(D50*0.003)),D50*0.003,0))),K50="TPO RTL SPLIT",IF(AND(K50="TPO RTL SPLIT",S50&lt;0.01),P50,IF(AND(K50="TPO RTL SPLIT",S50&gt;0,((L50/2)+(S50/2))&gt;(D50*0.0015)),(L50/2)+(S50/2),IF(AND(K50="TPO RTL SPLIT",$S50&gt;0,((L50/2)+(S50/2))&lt;(D50*0.0015)),D50*0.0015,0)))),0)</f>
        <v>0</v>
      </c>
      <c r="U50" s="42"/>
    </row>
    <row r="51" spans="1:21" x14ac:dyDescent="0.25">
      <c r="A51" s="31"/>
      <c r="B51" s="31"/>
      <c r="C51" s="31"/>
      <c r="D51" s="32"/>
      <c r="E51" s="33"/>
      <c r="F51" s="34"/>
      <c r="G51" s="34"/>
      <c r="H51" s="34"/>
      <c r="I51" s="34"/>
      <c r="J51" s="36" t="str">
        <f t="shared" si="2"/>
        <v/>
      </c>
      <c r="K51" s="33"/>
      <c r="L51" s="25">
        <f t="shared" si="3"/>
        <v>0</v>
      </c>
      <c r="M51" s="25">
        <f t="shared" si="0"/>
        <v>0</v>
      </c>
      <c r="N51" s="25">
        <f t="shared" si="4"/>
        <v>0</v>
      </c>
      <c r="O51" s="25">
        <f t="shared" si="5"/>
        <v>0</v>
      </c>
      <c r="P51" s="30" t="str" cm="1">
        <f t="array" ref="P51">IFERROR(IF(ISNUMBER(_xlfn.IFS(K51="RTL SPLIT",J51*D51*E51,K51="DSCR SPLIT",J51*D51,K51="TPO DSCR SPLIT",J51*D51,K51="TPO RTL SPLIT",J51*D51*E51*100)),_xlfn.IFS(K51="RTL SPLIT",J51*D51*E51,K51="DSCR SPLIT",J51*D51,K51="TPO DSCR SPLIT",J51*D51,K51="TPO RTL SPLIT",J51*D51*E51*100),""),0)</f>
        <v/>
      </c>
      <c r="Q51" s="34"/>
      <c r="R51" s="34"/>
      <c r="S51" s="25">
        <f t="shared" si="1"/>
        <v>0</v>
      </c>
      <c r="T51" s="40" cm="1">
        <f t="array" ref="T51">IFERROR(_xlfn.IFS(K51="BRIDGE",L51+S51,K51="DSCR",M51,K51="RETAIL DSCR",M51,K51="DSCR TPO",N51,K51="RTL SPLIT",P51+(S51/2),K51="DSCR SPLIT",P51,K51="TPO DSCR SPLIT",P51,K51="Bridge TPO",IF(AND(K51="BRIDGE TPO",S51&lt;0.01),O51,IF(AND(K51="Bridge TPO",$S51&gt;0,(L51+S51)&gt;(D51*0.003)),L51+S51,IF(AND(K51="Bridge TPO",$S51&gt;0,(L51+S51)&lt;(D51*0.003)),D51*0.003,0))),K51="TPO RTL SPLIT",IF(AND(K51="TPO RTL SPLIT",S51&lt;0.01),P51,IF(AND(K51="TPO RTL SPLIT",S51&gt;0,((L51/2)+(S51/2))&gt;(D51*0.0015)),(L51/2)+(S51/2),IF(AND(K51="TPO RTL SPLIT",$S51&gt;0,((L51/2)+(S51/2))&lt;(D51*0.0015)),D51*0.0015,0)))),0)</f>
        <v>0</v>
      </c>
      <c r="U51" s="42"/>
    </row>
    <row r="52" spans="1:21" x14ac:dyDescent="0.25">
      <c r="A52" s="31"/>
      <c r="B52" s="31"/>
      <c r="C52" s="31"/>
      <c r="D52" s="32"/>
      <c r="E52" s="33"/>
      <c r="F52" s="34"/>
      <c r="G52" s="34"/>
      <c r="H52" s="34"/>
      <c r="I52" s="34"/>
      <c r="J52" s="36" t="str">
        <f t="shared" si="2"/>
        <v/>
      </c>
      <c r="K52" s="33"/>
      <c r="L52" s="25">
        <f t="shared" si="3"/>
        <v>0</v>
      </c>
      <c r="M52" s="25">
        <f t="shared" si="0"/>
        <v>0</v>
      </c>
      <c r="N52" s="25">
        <f t="shared" si="4"/>
        <v>0</v>
      </c>
      <c r="O52" s="25">
        <f t="shared" si="5"/>
        <v>0</v>
      </c>
      <c r="P52" s="30" t="str" cm="1">
        <f t="array" ref="P52">IFERROR(IF(ISNUMBER(_xlfn.IFS(K52="RTL SPLIT",J52*D52*E52,K52="DSCR SPLIT",J52*D52,K52="TPO DSCR SPLIT",J52*D52,K52="TPO RTL SPLIT",J52*D52*E52*100)),_xlfn.IFS(K52="RTL SPLIT",J52*D52*E52,K52="DSCR SPLIT",J52*D52,K52="TPO DSCR SPLIT",J52*D52,K52="TPO RTL SPLIT",J52*D52*E52*100),""),0)</f>
        <v/>
      </c>
      <c r="Q52" s="34"/>
      <c r="R52" s="34"/>
      <c r="S52" s="25">
        <f t="shared" si="1"/>
        <v>0</v>
      </c>
      <c r="T52" s="40" cm="1">
        <f t="array" ref="T52">IFERROR(_xlfn.IFS(K52="BRIDGE",L52+S52,K52="DSCR",M52,K52="RETAIL DSCR",M52,K52="DSCR TPO",N52,K52="RTL SPLIT",P52+(S52/2),K52="DSCR SPLIT",P52,K52="TPO DSCR SPLIT",P52,K52="Bridge TPO",IF(AND(K52="BRIDGE TPO",S52&lt;0.01),O52,IF(AND(K52="Bridge TPO",$S52&gt;0,(L52+S52)&gt;(D52*0.003)),L52+S52,IF(AND(K52="Bridge TPO",$S52&gt;0,(L52+S52)&lt;(D52*0.003)),D52*0.003,0))),K52="TPO RTL SPLIT",IF(AND(K52="TPO RTL SPLIT",S52&lt;0.01),P52,IF(AND(K52="TPO RTL SPLIT",S52&gt;0,((L52/2)+(S52/2))&gt;(D52*0.0015)),(L52/2)+(S52/2),IF(AND(K52="TPO RTL SPLIT",$S52&gt;0,((L52/2)+(S52/2))&lt;(D52*0.0015)),D52*0.0015,0)))),0)</f>
        <v>0</v>
      </c>
      <c r="U52" s="42"/>
    </row>
    <row r="53" spans="1:21" x14ac:dyDescent="0.25">
      <c r="A53" s="31"/>
      <c r="B53" s="31"/>
      <c r="C53" s="31"/>
      <c r="D53" s="32"/>
      <c r="E53" s="33"/>
      <c r="F53" s="34"/>
      <c r="G53" s="34"/>
      <c r="H53" s="34"/>
      <c r="I53" s="34"/>
      <c r="J53" s="36" t="str">
        <f t="shared" si="2"/>
        <v/>
      </c>
      <c r="K53" s="33"/>
      <c r="L53" s="25">
        <f t="shared" si="3"/>
        <v>0</v>
      </c>
      <c r="M53" s="25">
        <f t="shared" si="0"/>
        <v>0</v>
      </c>
      <c r="N53" s="25">
        <f t="shared" si="4"/>
        <v>0</v>
      </c>
      <c r="O53" s="25">
        <f t="shared" si="5"/>
        <v>0</v>
      </c>
      <c r="P53" s="30" t="str" cm="1">
        <f t="array" ref="P53">IFERROR(IF(ISNUMBER(_xlfn.IFS(K53="RTL SPLIT",J53*D53*E53,K53="DSCR SPLIT",J53*D53,K53="TPO DSCR SPLIT",J53*D53,K53="TPO RTL SPLIT",J53*D53*E53*100)),_xlfn.IFS(K53="RTL SPLIT",J53*D53*E53,K53="DSCR SPLIT",J53*D53,K53="TPO DSCR SPLIT",J53*D53,K53="TPO RTL SPLIT",J53*D53*E53*100),""),0)</f>
        <v/>
      </c>
      <c r="Q53" s="34"/>
      <c r="R53" s="34"/>
      <c r="S53" s="25">
        <f t="shared" si="1"/>
        <v>0</v>
      </c>
      <c r="T53" s="40" cm="1">
        <f t="array" ref="T53">IFERROR(_xlfn.IFS(K53="BRIDGE",L53+S53,K53="DSCR",M53,K53="RETAIL DSCR",M53,K53="DSCR TPO",N53,K53="RTL SPLIT",P53+(S53/2),K53="DSCR SPLIT",P53,K53="TPO DSCR SPLIT",P53,K53="Bridge TPO",IF(AND(K53="BRIDGE TPO",S53&lt;0.01),O53,IF(AND(K53="Bridge TPO",$S53&gt;0,(L53+S53)&gt;(D53*0.003)),L53+S53,IF(AND(K53="Bridge TPO",$S53&gt;0,(L53+S53)&lt;(D53*0.003)),D53*0.003,0))),K53="TPO RTL SPLIT",IF(AND(K53="TPO RTL SPLIT",S53&lt;0.01),P53,IF(AND(K53="TPO RTL SPLIT",S53&gt;0,((L53/2)+(S53/2))&gt;(D53*0.0015)),(L53/2)+(S53/2),IF(AND(K53="TPO RTL SPLIT",$S53&gt;0,((L53/2)+(S53/2))&lt;(D53*0.0015)),D53*0.0015,0)))),0)</f>
        <v>0</v>
      </c>
      <c r="U53" s="42"/>
    </row>
    <row r="54" spans="1:21" x14ac:dyDescent="0.25">
      <c r="A54" s="31"/>
      <c r="B54" s="31"/>
      <c r="C54" s="31"/>
      <c r="D54" s="32"/>
      <c r="E54" s="33"/>
      <c r="F54" s="34"/>
      <c r="G54" s="34"/>
      <c r="H54" s="34"/>
      <c r="I54" s="34"/>
      <c r="J54" s="36" t="str">
        <f t="shared" si="2"/>
        <v/>
      </c>
      <c r="K54" s="33"/>
      <c r="L54" s="25">
        <f t="shared" si="3"/>
        <v>0</v>
      </c>
      <c r="M54" s="25">
        <f t="shared" si="0"/>
        <v>0</v>
      </c>
      <c r="N54" s="25">
        <f t="shared" si="4"/>
        <v>0</v>
      </c>
      <c r="O54" s="25">
        <f t="shared" si="5"/>
        <v>0</v>
      </c>
      <c r="P54" s="30" t="str" cm="1">
        <f t="array" ref="P54">IFERROR(IF(ISNUMBER(_xlfn.IFS(K54="RTL SPLIT",J54*D54*E54,K54="DSCR SPLIT",J54*D54,K54="TPO DSCR SPLIT",J54*D54,K54="TPO RTL SPLIT",J54*D54*E54*100)),_xlfn.IFS(K54="RTL SPLIT",J54*D54*E54,K54="DSCR SPLIT",J54*D54,K54="TPO DSCR SPLIT",J54*D54,K54="TPO RTL SPLIT",J54*D54*E54*100),""),0)</f>
        <v/>
      </c>
      <c r="Q54" s="34"/>
      <c r="R54" s="34"/>
      <c r="S54" s="25">
        <f t="shared" si="1"/>
        <v>0</v>
      </c>
      <c r="T54" s="40" cm="1">
        <f t="array" ref="T54">IFERROR(_xlfn.IFS(K54="BRIDGE",L54+S54,K54="DSCR",M54,K54="RETAIL DSCR",M54,K54="DSCR TPO",N54,K54="RTL SPLIT",P54+(S54/2),K54="DSCR SPLIT",P54,K54="TPO DSCR SPLIT",P54,K54="Bridge TPO",IF(AND(K54="BRIDGE TPO",S54&lt;0.01),O54,IF(AND(K54="Bridge TPO",$S54&gt;0,(L54+S54)&gt;(D54*0.003)),L54+S54,IF(AND(K54="Bridge TPO",$S54&gt;0,(L54+S54)&lt;(D54*0.003)),D54*0.003,0))),K54="TPO RTL SPLIT",IF(AND(K54="TPO RTL SPLIT",S54&lt;0.01),P54,IF(AND(K54="TPO RTL SPLIT",S54&gt;0,((L54/2)+(S54/2))&gt;(D54*0.0015)),(L54/2)+(S54/2),IF(AND(K54="TPO RTL SPLIT",$S54&gt;0,((L54/2)+(S54/2))&lt;(D54*0.0015)),D54*0.0015,0)))),0)</f>
        <v>0</v>
      </c>
      <c r="U54" s="42"/>
    </row>
    <row r="55" spans="1:21" x14ac:dyDescent="0.25">
      <c r="A55" s="31"/>
      <c r="B55" s="31"/>
      <c r="C55" s="31"/>
      <c r="D55" s="32"/>
      <c r="E55" s="33"/>
      <c r="F55" s="34"/>
      <c r="G55" s="34"/>
      <c r="H55" s="34"/>
      <c r="I55" s="34"/>
      <c r="J55" s="36" t="str">
        <f t="shared" si="2"/>
        <v/>
      </c>
      <c r="K55" s="33"/>
      <c r="L55" s="25">
        <f t="shared" si="3"/>
        <v>0</v>
      </c>
      <c r="M55" s="25">
        <f t="shared" si="0"/>
        <v>0</v>
      </c>
      <c r="N55" s="25">
        <f t="shared" si="4"/>
        <v>0</v>
      </c>
      <c r="O55" s="25">
        <f t="shared" si="5"/>
        <v>0</v>
      </c>
      <c r="P55" s="30" t="str" cm="1">
        <f t="array" ref="P55">IFERROR(IF(ISNUMBER(_xlfn.IFS(K55="RTL SPLIT",J55*D55*E55,K55="DSCR SPLIT",J55*D55,K55="TPO DSCR SPLIT",J55*D55,K55="TPO RTL SPLIT",J55*D55*E55*100)),_xlfn.IFS(K55="RTL SPLIT",J55*D55*E55,K55="DSCR SPLIT",J55*D55,K55="TPO DSCR SPLIT",J55*D55,K55="TPO RTL SPLIT",J55*D55*E55*100),""),0)</f>
        <v/>
      </c>
      <c r="Q55" s="34"/>
      <c r="R55" s="34"/>
      <c r="S55" s="25">
        <f t="shared" si="1"/>
        <v>0</v>
      </c>
      <c r="T55" s="40" cm="1">
        <f t="array" ref="T55">IFERROR(_xlfn.IFS(K55="BRIDGE",L55+S55,K55="DSCR",M55,K55="RETAIL DSCR",M55,K55="DSCR TPO",N55,K55="RTL SPLIT",P55+(S55/2),K55="DSCR SPLIT",P55,K55="TPO DSCR SPLIT",P55,K55="Bridge TPO",IF(AND(K55="BRIDGE TPO",S55&lt;0.01),O55,IF(AND(K55="Bridge TPO",$S55&gt;0,(L55+S55)&gt;(D55*0.003)),L55+S55,IF(AND(K55="Bridge TPO",$S55&gt;0,(L55+S55)&lt;(D55*0.003)),D55*0.003,0))),K55="TPO RTL SPLIT",IF(AND(K55="TPO RTL SPLIT",S55&lt;0.01),P55,IF(AND(K55="TPO RTL SPLIT",S55&gt;0,((L55/2)+(S55/2))&gt;(D55*0.0015)),(L55/2)+(S55/2),IF(AND(K55="TPO RTL SPLIT",$S55&gt;0,((L55/2)+(S55/2))&lt;(D55*0.0015)),D55*0.0015,0)))),0)</f>
        <v>0</v>
      </c>
      <c r="U55" s="42"/>
    </row>
    <row r="56" spans="1:21" x14ac:dyDescent="0.25">
      <c r="A56" s="31"/>
      <c r="B56" s="31"/>
      <c r="C56" s="31"/>
      <c r="D56" s="32"/>
      <c r="E56" s="33"/>
      <c r="F56" s="34"/>
      <c r="G56" s="34"/>
      <c r="H56" s="34"/>
      <c r="I56" s="34"/>
      <c r="J56" s="36" t="str">
        <f t="shared" si="2"/>
        <v/>
      </c>
      <c r="K56" s="33"/>
      <c r="L56" s="25">
        <f t="shared" si="3"/>
        <v>0</v>
      </c>
      <c r="M56" s="25">
        <f t="shared" si="0"/>
        <v>0</v>
      </c>
      <c r="N56" s="25">
        <f t="shared" si="4"/>
        <v>0</v>
      </c>
      <c r="O56" s="25">
        <f t="shared" si="5"/>
        <v>0</v>
      </c>
      <c r="P56" s="30" t="str" cm="1">
        <f t="array" ref="P56">IFERROR(IF(ISNUMBER(_xlfn.IFS(K56="RTL SPLIT",J56*D56*E56,K56="DSCR SPLIT",J56*D56,K56="TPO DSCR SPLIT",J56*D56,K56="TPO RTL SPLIT",J56*D56*E56*100)),_xlfn.IFS(K56="RTL SPLIT",J56*D56*E56,K56="DSCR SPLIT",J56*D56,K56="TPO DSCR SPLIT",J56*D56,K56="TPO RTL SPLIT",J56*D56*E56*100),""),0)</f>
        <v/>
      </c>
      <c r="Q56" s="34"/>
      <c r="R56" s="34"/>
      <c r="S56" s="25">
        <f t="shared" si="1"/>
        <v>0</v>
      </c>
      <c r="T56" s="40" cm="1">
        <f t="array" ref="T56">IFERROR(_xlfn.IFS(K56="BRIDGE",L56+S56,K56="DSCR",M56,K56="RETAIL DSCR",M56,K56="DSCR TPO",N56,K56="RTL SPLIT",P56+(S56/2),K56="DSCR SPLIT",P56,K56="TPO DSCR SPLIT",P56,K56="Bridge TPO",IF(AND(K56="BRIDGE TPO",S56&lt;0.01),O56,IF(AND(K56="Bridge TPO",$S56&gt;0,(L56+S56)&gt;(D56*0.003)),L56+S56,IF(AND(K56="Bridge TPO",$S56&gt;0,(L56+S56)&lt;(D56*0.003)),D56*0.003,0))),K56="TPO RTL SPLIT",IF(AND(K56="TPO RTL SPLIT",S56&lt;0.01),P56,IF(AND(K56="TPO RTL SPLIT",S56&gt;0,((L56/2)+(S56/2))&gt;(D56*0.0015)),(L56/2)+(S56/2),IF(AND(K56="TPO RTL SPLIT",$S56&gt;0,((L56/2)+(S56/2))&lt;(D56*0.0015)),D56*0.0015,0)))),0)</f>
        <v>0</v>
      </c>
      <c r="U56" s="42"/>
    </row>
    <row r="57" spans="1:21" x14ac:dyDescent="0.25">
      <c r="A57" s="31"/>
      <c r="B57" s="31"/>
      <c r="C57" s="31"/>
      <c r="D57" s="32"/>
      <c r="E57" s="33"/>
      <c r="F57" s="34"/>
      <c r="G57" s="34"/>
      <c r="H57" s="34"/>
      <c r="I57" s="34"/>
      <c r="J57" s="36" t="str">
        <f t="shared" si="2"/>
        <v/>
      </c>
      <c r="K57" s="33"/>
      <c r="L57" s="25">
        <f t="shared" si="3"/>
        <v>0</v>
      </c>
      <c r="M57" s="25">
        <f t="shared" si="0"/>
        <v>0</v>
      </c>
      <c r="N57" s="25">
        <f t="shared" si="4"/>
        <v>0</v>
      </c>
      <c r="O57" s="25">
        <f t="shared" si="5"/>
        <v>0</v>
      </c>
      <c r="P57" s="30" t="str" cm="1">
        <f t="array" ref="P57">IFERROR(IF(ISNUMBER(_xlfn.IFS(K57="RTL SPLIT",J57*D57*E57,K57="DSCR SPLIT",J57*D57,K57="TPO DSCR SPLIT",J57*D57,K57="TPO RTL SPLIT",J57*D57*E57*100)),_xlfn.IFS(K57="RTL SPLIT",J57*D57*E57,K57="DSCR SPLIT",J57*D57,K57="TPO DSCR SPLIT",J57*D57,K57="TPO RTL SPLIT",J57*D57*E57*100),""),0)</f>
        <v/>
      </c>
      <c r="Q57" s="34"/>
      <c r="R57" s="34"/>
      <c r="S57" s="25">
        <f t="shared" si="1"/>
        <v>0</v>
      </c>
      <c r="T57" s="40" cm="1">
        <f t="array" ref="T57">IFERROR(_xlfn.IFS(K57="BRIDGE",L57+S57,K57="DSCR",M57,K57="RETAIL DSCR",M57,K57="DSCR TPO",N57,K57="RTL SPLIT",P57+(S57/2),K57="DSCR SPLIT",P57,K57="TPO DSCR SPLIT",P57,K57="Bridge TPO",IF(AND(K57="BRIDGE TPO",S57&lt;0.01),O57,IF(AND(K57="Bridge TPO",$S57&gt;0,(L57+S57)&gt;(D57*0.003)),L57+S57,IF(AND(K57="Bridge TPO",$S57&gt;0,(L57+S57)&lt;(D57*0.003)),D57*0.003,0))),K57="TPO RTL SPLIT",IF(AND(K57="TPO RTL SPLIT",S57&lt;0.01),P57,IF(AND(K57="TPO RTL SPLIT",S57&gt;0,((L57/2)+(S57/2))&gt;(D57*0.0015)),(L57/2)+(S57/2),IF(AND(K57="TPO RTL SPLIT",$S57&gt;0,((L57/2)+(S57/2))&lt;(D57*0.0015)),D57*0.0015,0)))),0)</f>
        <v>0</v>
      </c>
      <c r="U57" s="42"/>
    </row>
    <row r="58" spans="1:21" ht="15.75" thickBot="1" x14ac:dyDescent="0.3">
      <c r="A58" s="27" t="s">
        <v>3</v>
      </c>
      <c r="B58" s="27"/>
      <c r="C58" s="27"/>
      <c r="D58" s="24">
        <f>SUM(D11:D57)</f>
        <v>1166500</v>
      </c>
      <c r="E58" s="28">
        <f>AVERAGE(E11:E57)</f>
        <v>0.01</v>
      </c>
      <c r="F58" s="28">
        <f t="shared" ref="F58:G58" si="12">AVERAGE(F11:F57)</f>
        <v>0.20000000000000004</v>
      </c>
      <c r="G58" s="28">
        <f t="shared" si="12"/>
        <v>0</v>
      </c>
      <c r="H58" s="28">
        <f>AVERAGE(H11:H57)</f>
        <v>0</v>
      </c>
      <c r="I58" s="28"/>
      <c r="J58" s="28" t="e">
        <f>AVERAGE(J11:J57)</f>
        <v>#DIV/0!</v>
      </c>
      <c r="K58" s="28"/>
      <c r="L58" s="26">
        <f t="shared" ref="L58:P58" si="13">SUM(L11:L57)</f>
        <v>2327</v>
      </c>
      <c r="M58" s="26">
        <f>SUM(M11:M57)</f>
        <v>0</v>
      </c>
      <c r="N58" s="26">
        <f t="shared" si="13"/>
        <v>0</v>
      </c>
      <c r="O58" s="26">
        <f t="shared" si="13"/>
        <v>0</v>
      </c>
      <c r="P58" s="26">
        <f t="shared" si="13"/>
        <v>0</v>
      </c>
      <c r="Q58" s="26"/>
      <c r="R58" s="26"/>
      <c r="S58" s="26"/>
      <c r="T58" s="26">
        <f>SUM(T11:T57)</f>
        <v>6078.9835800000001</v>
      </c>
    </row>
    <row r="59" spans="1:21" x14ac:dyDescent="0.25">
      <c r="G59" s="16"/>
      <c r="H59" s="16"/>
      <c r="I59" s="16"/>
      <c r="J59" s="16"/>
      <c r="L59" s="17"/>
      <c r="M59" s="17"/>
      <c r="N59" s="17"/>
      <c r="O59" s="17"/>
      <c r="P59" s="17"/>
      <c r="Q59" s="17"/>
      <c r="R59" s="17"/>
      <c r="S59" s="17"/>
    </row>
    <row r="60" spans="1:21" x14ac:dyDescent="0.25">
      <c r="A60" s="1" t="s">
        <v>5</v>
      </c>
      <c r="B60" s="1"/>
      <c r="C60" s="1"/>
      <c r="D60" s="1" t="s">
        <v>10</v>
      </c>
      <c r="E60" s="1" t="s">
        <v>11</v>
      </c>
    </row>
    <row r="61" spans="1:21" x14ac:dyDescent="0.25">
      <c r="A61" t="s">
        <v>56</v>
      </c>
      <c r="B61" s="6"/>
      <c r="C61" s="6"/>
      <c r="D61" s="44" t="s">
        <v>57</v>
      </c>
      <c r="E61" s="44" t="s">
        <v>58</v>
      </c>
      <c r="F61" s="6"/>
      <c r="G61" s="3"/>
      <c r="H61" s="3"/>
      <c r="I61" s="3"/>
      <c r="J61" s="3"/>
      <c r="K61" s="6"/>
      <c r="L61" s="7"/>
      <c r="M61" s="7"/>
      <c r="N61" s="7"/>
      <c r="O61" s="7"/>
      <c r="P61" s="7"/>
      <c r="Q61" s="7"/>
      <c r="R61" s="7"/>
      <c r="S61" s="7"/>
      <c r="T61" s="6"/>
    </row>
  </sheetData>
  <mergeCells count="4">
    <mergeCell ref="A3:D3"/>
    <mergeCell ref="A2:D2"/>
    <mergeCell ref="A1:D1"/>
    <mergeCell ref="C5:E8"/>
  </mergeCells>
  <hyperlinks>
    <hyperlink ref="A8" r:id="rId1" xr:uid="{0613BFD4-1691-064F-866B-914DBC12950A}"/>
  </hyperlinks>
  <pageMargins left="0.7" right="0.7" top="0.75" bottom="0.75" header="0.3" footer="0.3"/>
  <pageSetup scale="77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FD5597-458E-4DF7-819A-F9F520B596C4}">
          <x14:formula1>
            <xm:f>Data!$B$2:$B$30</xm:f>
          </x14:formula1>
          <xm:sqref>K16:K57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DADD-2F19-4013-88F1-56BE36A03905}">
  <dimension ref="B2:B30"/>
  <sheetViews>
    <sheetView workbookViewId="0">
      <selection activeCell="B12" sqref="B11:B12"/>
    </sheetView>
  </sheetViews>
  <sheetFormatPr defaultColWidth="8.5703125" defaultRowHeight="15" x14ac:dyDescent="0.25"/>
  <cols>
    <col min="2" max="2" width="14" bestFit="1" customWidth="1"/>
  </cols>
  <sheetData>
    <row r="2" spans="2:2" x14ac:dyDescent="0.25">
      <c r="B2" s="39" t="s">
        <v>33</v>
      </c>
    </row>
    <row r="3" spans="2:2" x14ac:dyDescent="0.25">
      <c r="B3" s="39" t="s">
        <v>26</v>
      </c>
    </row>
    <row r="4" spans="2:2" x14ac:dyDescent="0.25">
      <c r="B4" s="39" t="s">
        <v>30</v>
      </c>
    </row>
    <row r="5" spans="2:2" x14ac:dyDescent="0.25">
      <c r="B5" s="39" t="s">
        <v>31</v>
      </c>
    </row>
    <row r="6" spans="2:2" x14ac:dyDescent="0.25">
      <c r="B6" s="39" t="s">
        <v>19</v>
      </c>
    </row>
    <row r="7" spans="2:2" x14ac:dyDescent="0.25">
      <c r="B7" s="39" t="s">
        <v>37</v>
      </c>
    </row>
    <row r="8" spans="2:2" x14ac:dyDescent="0.25">
      <c r="B8" s="39" t="s">
        <v>25</v>
      </c>
    </row>
    <row r="9" spans="2:2" x14ac:dyDescent="0.25">
      <c r="B9" s="39" t="s">
        <v>29</v>
      </c>
    </row>
    <row r="10" spans="2:2" x14ac:dyDescent="0.25">
      <c r="B10" s="39" t="s">
        <v>32</v>
      </c>
    </row>
    <row r="11" spans="2:2" x14ac:dyDescent="0.25">
      <c r="B11" s="39"/>
    </row>
    <row r="12" spans="2:2" x14ac:dyDescent="0.25">
      <c r="B12" s="39"/>
    </row>
    <row r="13" spans="2:2" x14ac:dyDescent="0.25">
      <c r="B13" s="39"/>
    </row>
    <row r="14" spans="2:2" x14ac:dyDescent="0.25">
      <c r="B14" s="39"/>
    </row>
    <row r="15" spans="2:2" x14ac:dyDescent="0.25">
      <c r="B15" s="39"/>
    </row>
    <row r="16" spans="2:2" x14ac:dyDescent="0.25">
      <c r="B16" s="39"/>
    </row>
    <row r="17" spans="2:2" x14ac:dyDescent="0.25">
      <c r="B17" s="39"/>
    </row>
    <row r="18" spans="2:2" x14ac:dyDescent="0.25">
      <c r="B18" s="39"/>
    </row>
    <row r="19" spans="2:2" x14ac:dyDescent="0.25">
      <c r="B19" s="39"/>
    </row>
    <row r="20" spans="2:2" x14ac:dyDescent="0.25">
      <c r="B20" s="39"/>
    </row>
    <row r="21" spans="2:2" x14ac:dyDescent="0.25">
      <c r="B21" s="39"/>
    </row>
    <row r="22" spans="2:2" x14ac:dyDescent="0.25">
      <c r="B22" s="39"/>
    </row>
    <row r="23" spans="2:2" x14ac:dyDescent="0.25">
      <c r="B23" s="39"/>
    </row>
    <row r="24" spans="2:2" x14ac:dyDescent="0.25">
      <c r="B24" s="39"/>
    </row>
    <row r="25" spans="2:2" x14ac:dyDescent="0.25">
      <c r="B25" s="39"/>
    </row>
    <row r="26" spans="2:2" x14ac:dyDescent="0.25">
      <c r="B26" s="39"/>
    </row>
    <row r="27" spans="2:2" x14ac:dyDescent="0.25">
      <c r="B27" s="39"/>
    </row>
    <row r="28" spans="2:2" x14ac:dyDescent="0.25">
      <c r="B28" s="39"/>
    </row>
    <row r="29" spans="2:2" x14ac:dyDescent="0.25">
      <c r="B29" s="39"/>
    </row>
    <row r="30" spans="2:2" x14ac:dyDescent="0.25">
      <c r="B3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Commission Request</vt:lpstr>
      <vt:lpstr>Data</vt:lpstr>
      <vt:lpstr>'Commission Request'!Print_Area</vt:lpstr>
    </vt:vector>
  </TitlesOfParts>
  <Company>myitpros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Smith</dc:creator>
  <cp:lastModifiedBy>Riley Bishop</cp:lastModifiedBy>
  <cp:lastPrinted>2017-01-04T22:11:17Z</cp:lastPrinted>
  <dcterms:created xsi:type="dcterms:W3CDTF">2016-11-21T20:15:55Z</dcterms:created>
  <dcterms:modified xsi:type="dcterms:W3CDTF">2025-11-06T18:42:45Z</dcterms:modified>
</cp:coreProperties>
</file>